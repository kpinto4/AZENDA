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C1AE27D-ECDA-4299-9C86-3C980AAEFC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LUJO DE CAJA" sheetId="1" r:id="rId1"/>
    <sheet name="Proyeccion Ventas" sheetId="2" r:id="rId2"/>
    <sheet name="Costos Unitarios de producción" sheetId="3" r:id="rId3"/>
    <sheet name="Costos Indirectos Fabricacion" sheetId="4" r:id="rId4"/>
    <sheet name="Ppto gastos fijos" sheetId="5" r:id="rId5"/>
    <sheet name="Ppto gastos variables" sheetId="6" r:id="rId6"/>
    <sheet name="Infraestructura" sheetId="7" r:id="rId7"/>
    <sheet name="Punto de equilibrio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CjdkzHvrZlo8m7Mch5O75HLzmYMz/D2ADd3Uj48IM9o="/>
    </ext>
  </extLst>
</workbook>
</file>

<file path=xl/calcChain.xml><?xml version="1.0" encoding="utf-8"?>
<calcChain xmlns="http://schemas.openxmlformats.org/spreadsheetml/2006/main">
  <c r="E7" i="3" l="1"/>
  <c r="F6" i="8"/>
  <c r="F7" i="8" s="1"/>
  <c r="E6" i="8"/>
  <c r="E7" i="8" s="1"/>
  <c r="D6" i="8"/>
  <c r="D7" i="8" s="1"/>
  <c r="C4" i="8"/>
  <c r="B4" i="8"/>
  <c r="P95" i="7"/>
  <c r="M95" i="7"/>
  <c r="J95" i="7"/>
  <c r="G95" i="7"/>
  <c r="D95" i="7"/>
  <c r="P94" i="7"/>
  <c r="M94" i="7"/>
  <c r="J94" i="7"/>
  <c r="G94" i="7"/>
  <c r="D94" i="7"/>
  <c r="P93" i="7"/>
  <c r="M93" i="7"/>
  <c r="J93" i="7"/>
  <c r="G93" i="7"/>
  <c r="D93" i="7"/>
  <c r="P92" i="7"/>
  <c r="M92" i="7"/>
  <c r="J92" i="7"/>
  <c r="G92" i="7"/>
  <c r="D92" i="7"/>
  <c r="P91" i="7"/>
  <c r="M91" i="7"/>
  <c r="J91" i="7"/>
  <c r="G91" i="7"/>
  <c r="D91" i="7"/>
  <c r="P90" i="7"/>
  <c r="M90" i="7"/>
  <c r="J90" i="7"/>
  <c r="G90" i="7"/>
  <c r="D90" i="7"/>
  <c r="P89" i="7"/>
  <c r="M89" i="7"/>
  <c r="J89" i="7"/>
  <c r="G89" i="7"/>
  <c r="D89" i="7"/>
  <c r="P88" i="7"/>
  <c r="M88" i="7"/>
  <c r="J88" i="7"/>
  <c r="G88" i="7"/>
  <c r="G96" i="7" s="1"/>
  <c r="D88" i="7"/>
  <c r="D96" i="7" s="1"/>
  <c r="B35" i="1" s="1"/>
  <c r="P82" i="7"/>
  <c r="M82" i="7"/>
  <c r="J82" i="7"/>
  <c r="G82" i="7"/>
  <c r="D82" i="7"/>
  <c r="P81" i="7"/>
  <c r="M81" i="7"/>
  <c r="J81" i="7"/>
  <c r="G81" i="7"/>
  <c r="D81" i="7"/>
  <c r="P80" i="7"/>
  <c r="M80" i="7"/>
  <c r="J80" i="7"/>
  <c r="G80" i="7"/>
  <c r="D80" i="7"/>
  <c r="P79" i="7"/>
  <c r="M79" i="7"/>
  <c r="J79" i="7"/>
  <c r="G79" i="7"/>
  <c r="D79" i="7"/>
  <c r="P78" i="7"/>
  <c r="M78" i="7"/>
  <c r="J78" i="7"/>
  <c r="G78" i="7"/>
  <c r="D78" i="7"/>
  <c r="P77" i="7"/>
  <c r="M77" i="7"/>
  <c r="J77" i="7"/>
  <c r="G77" i="7"/>
  <c r="D77" i="7"/>
  <c r="P76" i="7"/>
  <c r="P83" i="7" s="1"/>
  <c r="M76" i="7"/>
  <c r="J76" i="7"/>
  <c r="G76" i="7"/>
  <c r="D76" i="7"/>
  <c r="P75" i="7"/>
  <c r="M75" i="7"/>
  <c r="J75" i="7"/>
  <c r="G75" i="7"/>
  <c r="D75" i="7"/>
  <c r="D83" i="7" s="1"/>
  <c r="J72" i="7"/>
  <c r="G72" i="7"/>
  <c r="D72" i="7"/>
  <c r="P71" i="7"/>
  <c r="M71" i="7"/>
  <c r="J71" i="7"/>
  <c r="G71" i="7"/>
  <c r="D71" i="7"/>
  <c r="P70" i="7"/>
  <c r="M70" i="7"/>
  <c r="J70" i="7"/>
  <c r="G70" i="7"/>
  <c r="D70" i="7"/>
  <c r="P69" i="7"/>
  <c r="M69" i="7"/>
  <c r="J69" i="7"/>
  <c r="G69" i="7"/>
  <c r="D69" i="7"/>
  <c r="P68" i="7"/>
  <c r="M68" i="7"/>
  <c r="M72" i="7" s="1"/>
  <c r="J68" i="7"/>
  <c r="G68" i="7"/>
  <c r="D68" i="7"/>
  <c r="M65" i="7"/>
  <c r="P64" i="7"/>
  <c r="M64" i="7"/>
  <c r="J64" i="7"/>
  <c r="G64" i="7"/>
  <c r="D64" i="7"/>
  <c r="P63" i="7"/>
  <c r="M63" i="7"/>
  <c r="J63" i="7"/>
  <c r="G63" i="7"/>
  <c r="D63" i="7"/>
  <c r="P62" i="7"/>
  <c r="M62" i="7"/>
  <c r="J62" i="7"/>
  <c r="G62" i="7"/>
  <c r="D62" i="7"/>
  <c r="P61" i="7"/>
  <c r="M61" i="7"/>
  <c r="J61" i="7"/>
  <c r="G61" i="7"/>
  <c r="D61" i="7"/>
  <c r="P60" i="7"/>
  <c r="M60" i="7"/>
  <c r="J60" i="7"/>
  <c r="G60" i="7"/>
  <c r="D60" i="7"/>
  <c r="D65" i="7" s="1"/>
  <c r="M56" i="7"/>
  <c r="J56" i="7"/>
  <c r="P55" i="7"/>
  <c r="M55" i="7"/>
  <c r="J55" i="7"/>
  <c r="G55" i="7"/>
  <c r="D55" i="7"/>
  <c r="P54" i="7"/>
  <c r="M54" i="7"/>
  <c r="J54" i="7"/>
  <c r="G54" i="7"/>
  <c r="D54" i="7"/>
  <c r="P53" i="7"/>
  <c r="M53" i="7"/>
  <c r="J53" i="7"/>
  <c r="G53" i="7"/>
  <c r="D53" i="7"/>
  <c r="P52" i="7"/>
  <c r="M52" i="7"/>
  <c r="J52" i="7"/>
  <c r="G52" i="7"/>
  <c r="D52" i="7"/>
  <c r="P51" i="7"/>
  <c r="P56" i="7" s="1"/>
  <c r="M51" i="7"/>
  <c r="J51" i="7"/>
  <c r="G51" i="7"/>
  <c r="D51" i="7"/>
  <c r="G48" i="7"/>
  <c r="P47" i="7"/>
  <c r="M47" i="7"/>
  <c r="J47" i="7"/>
  <c r="G47" i="7"/>
  <c r="D47" i="7"/>
  <c r="P46" i="7"/>
  <c r="M46" i="7"/>
  <c r="J46" i="7"/>
  <c r="G46" i="7"/>
  <c r="D46" i="7"/>
  <c r="P45" i="7"/>
  <c r="M45" i="7"/>
  <c r="J45" i="7"/>
  <c r="G45" i="7"/>
  <c r="D45" i="7"/>
  <c r="P44" i="7"/>
  <c r="P48" i="7" s="1"/>
  <c r="M44" i="7"/>
  <c r="M48" i="7" s="1"/>
  <c r="J44" i="7"/>
  <c r="G44" i="7"/>
  <c r="D44" i="7"/>
  <c r="P43" i="7"/>
  <c r="M43" i="7"/>
  <c r="J43" i="7"/>
  <c r="G43" i="7"/>
  <c r="D43" i="7"/>
  <c r="P42" i="7"/>
  <c r="M42" i="7"/>
  <c r="J42" i="7"/>
  <c r="G42" i="7"/>
  <c r="D42" i="7"/>
  <c r="P38" i="7"/>
  <c r="M38" i="7"/>
  <c r="J38" i="7"/>
  <c r="G38" i="7"/>
  <c r="D38" i="7"/>
  <c r="P37" i="7"/>
  <c r="M37" i="7"/>
  <c r="J37" i="7"/>
  <c r="G37" i="7"/>
  <c r="D37" i="7"/>
  <c r="P36" i="7"/>
  <c r="M36" i="7"/>
  <c r="J36" i="7"/>
  <c r="G36" i="7"/>
  <c r="D36" i="7"/>
  <c r="P35" i="7"/>
  <c r="M35" i="7"/>
  <c r="J35" i="7"/>
  <c r="G35" i="7"/>
  <c r="D35" i="7"/>
  <c r="P34" i="7"/>
  <c r="M34" i="7"/>
  <c r="J34" i="7"/>
  <c r="G34" i="7"/>
  <c r="D34" i="7"/>
  <c r="P33" i="7"/>
  <c r="M33" i="7"/>
  <c r="J33" i="7"/>
  <c r="G33" i="7"/>
  <c r="D33" i="7"/>
  <c r="P32" i="7"/>
  <c r="M32" i="7"/>
  <c r="J32" i="7"/>
  <c r="G32" i="7"/>
  <c r="D32" i="7"/>
  <c r="P31" i="7"/>
  <c r="M31" i="7"/>
  <c r="J31" i="7"/>
  <c r="G31" i="7"/>
  <c r="D31" i="7"/>
  <c r="P30" i="7"/>
  <c r="M30" i="7"/>
  <c r="J30" i="7"/>
  <c r="G30" i="7"/>
  <c r="D30" i="7"/>
  <c r="P29" i="7"/>
  <c r="M29" i="7"/>
  <c r="J29" i="7"/>
  <c r="G29" i="7"/>
  <c r="D29" i="7"/>
  <c r="P28" i="7"/>
  <c r="M28" i="7"/>
  <c r="J28" i="7"/>
  <c r="G28" i="7"/>
  <c r="D28" i="7"/>
  <c r="P27" i="7"/>
  <c r="M27" i="7"/>
  <c r="J27" i="7"/>
  <c r="G27" i="7"/>
  <c r="D27" i="7"/>
  <c r="P26" i="7"/>
  <c r="M26" i="7"/>
  <c r="J26" i="7"/>
  <c r="G26" i="7"/>
  <c r="D26" i="7"/>
  <c r="P25" i="7"/>
  <c r="M25" i="7"/>
  <c r="J25" i="7"/>
  <c r="G25" i="7"/>
  <c r="D25" i="7"/>
  <c r="P24" i="7"/>
  <c r="M24" i="7"/>
  <c r="J24" i="7"/>
  <c r="G24" i="7"/>
  <c r="D24" i="7"/>
  <c r="P23" i="7"/>
  <c r="M23" i="7"/>
  <c r="J23" i="7"/>
  <c r="G23" i="7"/>
  <c r="D23" i="7"/>
  <c r="P22" i="7"/>
  <c r="M22" i="7"/>
  <c r="J22" i="7"/>
  <c r="G22" i="7"/>
  <c r="D22" i="7"/>
  <c r="P21" i="7"/>
  <c r="M21" i="7"/>
  <c r="J21" i="7"/>
  <c r="G21" i="7"/>
  <c r="D21" i="7"/>
  <c r="P20" i="7"/>
  <c r="M20" i="7"/>
  <c r="J20" i="7"/>
  <c r="G20" i="7"/>
  <c r="D20" i="7"/>
  <c r="P19" i="7"/>
  <c r="M19" i="7"/>
  <c r="J19" i="7"/>
  <c r="G19" i="7"/>
  <c r="D19" i="7"/>
  <c r="P18" i="7"/>
  <c r="M18" i="7"/>
  <c r="J18" i="7"/>
  <c r="J39" i="7" s="1"/>
  <c r="G18" i="7"/>
  <c r="D18" i="7"/>
  <c r="J15" i="7"/>
  <c r="P14" i="7"/>
  <c r="M14" i="7"/>
  <c r="J14" i="7"/>
  <c r="G14" i="7"/>
  <c r="D14" i="7"/>
  <c r="P13" i="7"/>
  <c r="M13" i="7"/>
  <c r="J13" i="7"/>
  <c r="G13" i="7"/>
  <c r="G15" i="7" s="1"/>
  <c r="D13" i="7"/>
  <c r="P12" i="7"/>
  <c r="M12" i="7"/>
  <c r="J12" i="7"/>
  <c r="G12" i="7"/>
  <c r="D12" i="7"/>
  <c r="P11" i="7"/>
  <c r="M11" i="7"/>
  <c r="J11" i="7"/>
  <c r="G11" i="7"/>
  <c r="D11" i="7"/>
  <c r="P10" i="7"/>
  <c r="M10" i="7"/>
  <c r="J10" i="7"/>
  <c r="G10" i="7"/>
  <c r="D10" i="7"/>
  <c r="P9" i="7"/>
  <c r="M9" i="7"/>
  <c r="J9" i="7"/>
  <c r="G9" i="7"/>
  <c r="D9" i="7"/>
  <c r="P8" i="7"/>
  <c r="P15" i="7" s="1"/>
  <c r="M8" i="7"/>
  <c r="J8" i="7"/>
  <c r="G8" i="7"/>
  <c r="D8" i="7"/>
  <c r="P7" i="7"/>
  <c r="M7" i="7"/>
  <c r="J7" i="7"/>
  <c r="G7" i="7"/>
  <c r="D7" i="7"/>
  <c r="B21" i="6"/>
  <c r="B24" i="5"/>
  <c r="N24" i="5" s="1"/>
  <c r="N23" i="5"/>
  <c r="O23" i="5" s="1"/>
  <c r="P23" i="5" s="1"/>
  <c r="Q23" i="5" s="1"/>
  <c r="R23" i="5" s="1"/>
  <c r="N22" i="5"/>
  <c r="O22" i="5" s="1"/>
  <c r="P22" i="5" s="1"/>
  <c r="Q22" i="5" s="1"/>
  <c r="R22" i="5" s="1"/>
  <c r="N21" i="5"/>
  <c r="O21" i="5" s="1"/>
  <c r="P21" i="5" s="1"/>
  <c r="Q21" i="5" s="1"/>
  <c r="R21" i="5" s="1"/>
  <c r="N20" i="5"/>
  <c r="N19" i="5"/>
  <c r="O19" i="5" s="1"/>
  <c r="P19" i="5" s="1"/>
  <c r="Q19" i="5" s="1"/>
  <c r="R19" i="5" s="1"/>
  <c r="O18" i="5"/>
  <c r="P18" i="5" s="1"/>
  <c r="Q18" i="5" s="1"/>
  <c r="R18" i="5" s="1"/>
  <c r="N18" i="5"/>
  <c r="N17" i="5"/>
  <c r="O17" i="5" s="1"/>
  <c r="P17" i="5" s="1"/>
  <c r="Q17" i="5" s="1"/>
  <c r="R17" i="5" s="1"/>
  <c r="N16" i="5"/>
  <c r="O16" i="5" s="1"/>
  <c r="P16" i="5" s="1"/>
  <c r="Q16" i="5" s="1"/>
  <c r="R16" i="5" s="1"/>
  <c r="N15" i="5"/>
  <c r="O15" i="5" s="1"/>
  <c r="P15" i="5" s="1"/>
  <c r="Q15" i="5" s="1"/>
  <c r="R15" i="5" s="1"/>
  <c r="N14" i="5"/>
  <c r="O14" i="5" s="1"/>
  <c r="P14" i="5" s="1"/>
  <c r="Q14" i="5" s="1"/>
  <c r="R14" i="5" s="1"/>
  <c r="N13" i="5"/>
  <c r="O13" i="5" s="1"/>
  <c r="P13" i="5" s="1"/>
  <c r="Q13" i="5" s="1"/>
  <c r="R13" i="5" s="1"/>
  <c r="N12" i="5"/>
  <c r="O12" i="5" s="1"/>
  <c r="P12" i="5" s="1"/>
  <c r="Q12" i="5" s="1"/>
  <c r="R12" i="5" s="1"/>
  <c r="N11" i="5"/>
  <c r="O11" i="5" s="1"/>
  <c r="P11" i="5" s="1"/>
  <c r="Q11" i="5" s="1"/>
  <c r="R11" i="5" s="1"/>
  <c r="N10" i="5"/>
  <c r="O10" i="5" s="1"/>
  <c r="P10" i="5" s="1"/>
  <c r="Q10" i="5" s="1"/>
  <c r="R10" i="5" s="1"/>
  <c r="N9" i="5"/>
  <c r="O9" i="5" s="1"/>
  <c r="P9" i="5" s="1"/>
  <c r="Q9" i="5" s="1"/>
  <c r="R9" i="5" s="1"/>
  <c r="N8" i="5"/>
  <c r="O8" i="5" s="1"/>
  <c r="P8" i="5" s="1"/>
  <c r="Q8" i="5" s="1"/>
  <c r="R8" i="5" s="1"/>
  <c r="N7" i="5"/>
  <c r="O7" i="5" s="1"/>
  <c r="P7" i="5" s="1"/>
  <c r="Q7" i="5" s="1"/>
  <c r="R7" i="5" s="1"/>
  <c r="N6" i="5"/>
  <c r="O6" i="5" s="1"/>
  <c r="P6" i="5" s="1"/>
  <c r="Q6" i="5" s="1"/>
  <c r="R6" i="5" s="1"/>
  <c r="N5" i="5"/>
  <c r="O5" i="5" s="1"/>
  <c r="B20" i="4"/>
  <c r="N20" i="4" s="1"/>
  <c r="N19" i="4"/>
  <c r="O19" i="4" s="1"/>
  <c r="P19" i="4" s="1"/>
  <c r="Q19" i="4" s="1"/>
  <c r="R19" i="4" s="1"/>
  <c r="N18" i="4"/>
  <c r="O18" i="4" s="1"/>
  <c r="P18" i="4" s="1"/>
  <c r="Q18" i="4" s="1"/>
  <c r="R18" i="4" s="1"/>
  <c r="N17" i="4"/>
  <c r="O17" i="4" s="1"/>
  <c r="P17" i="4" s="1"/>
  <c r="Q17" i="4" s="1"/>
  <c r="R17" i="4" s="1"/>
  <c r="N16" i="4"/>
  <c r="O16" i="4" s="1"/>
  <c r="P16" i="4" s="1"/>
  <c r="Q16" i="4" s="1"/>
  <c r="R16" i="4" s="1"/>
  <c r="O11" i="4"/>
  <c r="P11" i="4" s="1"/>
  <c r="Q11" i="4" s="1"/>
  <c r="R11" i="4" s="1"/>
  <c r="N11" i="4"/>
  <c r="N10" i="4"/>
  <c r="O10" i="4" s="1"/>
  <c r="P10" i="4" s="1"/>
  <c r="Q10" i="4" s="1"/>
  <c r="R10" i="4" s="1"/>
  <c r="N9" i="4"/>
  <c r="O9" i="4" s="1"/>
  <c r="P9" i="4" s="1"/>
  <c r="Q9" i="4" s="1"/>
  <c r="R9" i="4" s="1"/>
  <c r="N8" i="4"/>
  <c r="O8" i="4" s="1"/>
  <c r="P8" i="4" s="1"/>
  <c r="Q8" i="4" s="1"/>
  <c r="R8" i="4" s="1"/>
  <c r="N7" i="4"/>
  <c r="O7" i="4" s="1"/>
  <c r="P7" i="4" s="1"/>
  <c r="Q7" i="4" s="1"/>
  <c r="R7" i="4" s="1"/>
  <c r="N6" i="4"/>
  <c r="O6" i="4" s="1"/>
  <c r="P6" i="4" s="1"/>
  <c r="Q6" i="4" s="1"/>
  <c r="R6" i="4" s="1"/>
  <c r="N5" i="4"/>
  <c r="O5" i="4" s="1"/>
  <c r="T53" i="3"/>
  <c r="Q53" i="3"/>
  <c r="N53" i="3"/>
  <c r="K53" i="3"/>
  <c r="H53" i="3"/>
  <c r="E53" i="3"/>
  <c r="T52" i="3"/>
  <c r="Q52" i="3"/>
  <c r="N52" i="3"/>
  <c r="K52" i="3"/>
  <c r="H52" i="3"/>
  <c r="E52" i="3"/>
  <c r="T51" i="3"/>
  <c r="Q51" i="3"/>
  <c r="N51" i="3"/>
  <c r="K51" i="3"/>
  <c r="H51" i="3"/>
  <c r="E51" i="3"/>
  <c r="T50" i="3"/>
  <c r="Q50" i="3"/>
  <c r="N50" i="3"/>
  <c r="K50" i="3"/>
  <c r="H50" i="3"/>
  <c r="E50" i="3"/>
  <c r="T49" i="3"/>
  <c r="Q49" i="3"/>
  <c r="N49" i="3"/>
  <c r="K49" i="3"/>
  <c r="H49" i="3"/>
  <c r="E49" i="3"/>
  <c r="T48" i="3"/>
  <c r="Q48" i="3"/>
  <c r="N48" i="3"/>
  <c r="K48" i="3"/>
  <c r="H48" i="3"/>
  <c r="E48" i="3"/>
  <c r="T47" i="3"/>
  <c r="Q47" i="3"/>
  <c r="N47" i="3"/>
  <c r="K47" i="3"/>
  <c r="F47" i="3"/>
  <c r="E47" i="3"/>
  <c r="T46" i="3"/>
  <c r="Q46" i="3"/>
  <c r="N46" i="3"/>
  <c r="K46" i="3"/>
  <c r="F46" i="3"/>
  <c r="E46" i="3"/>
  <c r="T45" i="3"/>
  <c r="Q45" i="3"/>
  <c r="N45" i="3"/>
  <c r="K45" i="3"/>
  <c r="F45" i="3"/>
  <c r="E45" i="3"/>
  <c r="T44" i="3"/>
  <c r="Q44" i="3"/>
  <c r="N44" i="3"/>
  <c r="K44" i="3"/>
  <c r="F44" i="3"/>
  <c r="E44" i="3"/>
  <c r="T43" i="3"/>
  <c r="Q43" i="3"/>
  <c r="N43" i="3"/>
  <c r="K43" i="3"/>
  <c r="F43" i="3"/>
  <c r="E43" i="3"/>
  <c r="T42" i="3"/>
  <c r="Q42" i="3"/>
  <c r="N42" i="3"/>
  <c r="K42" i="3"/>
  <c r="F42" i="3"/>
  <c r="E42" i="3"/>
  <c r="T41" i="3"/>
  <c r="Q41" i="3"/>
  <c r="N41" i="3"/>
  <c r="K41" i="3"/>
  <c r="F41" i="3"/>
  <c r="E41" i="3"/>
  <c r="T40" i="3"/>
  <c r="Q40" i="3"/>
  <c r="N40" i="3"/>
  <c r="K40" i="3"/>
  <c r="F40" i="3"/>
  <c r="E40" i="3"/>
  <c r="T39" i="3"/>
  <c r="Q39" i="3"/>
  <c r="N39" i="3"/>
  <c r="K39" i="3"/>
  <c r="F39" i="3"/>
  <c r="E39" i="3"/>
  <c r="T38" i="3"/>
  <c r="Q38" i="3"/>
  <c r="N38" i="3"/>
  <c r="K38" i="3"/>
  <c r="F38" i="3"/>
  <c r="E38" i="3"/>
  <c r="T37" i="3"/>
  <c r="Q37" i="3"/>
  <c r="N37" i="3"/>
  <c r="K37" i="3"/>
  <c r="F37" i="3"/>
  <c r="E37" i="3"/>
  <c r="T36" i="3"/>
  <c r="Q36" i="3"/>
  <c r="N36" i="3"/>
  <c r="K36" i="3"/>
  <c r="F36" i="3"/>
  <c r="E36" i="3"/>
  <c r="T21" i="3"/>
  <c r="Q21" i="3"/>
  <c r="N21" i="3"/>
  <c r="K21" i="3"/>
  <c r="H21" i="3"/>
  <c r="E21" i="3"/>
  <c r="T20" i="3"/>
  <c r="Q20" i="3"/>
  <c r="N20" i="3"/>
  <c r="K20" i="3"/>
  <c r="H20" i="3"/>
  <c r="E20" i="3"/>
  <c r="T19" i="3"/>
  <c r="Q19" i="3"/>
  <c r="N19" i="3"/>
  <c r="K19" i="3"/>
  <c r="H19" i="3"/>
  <c r="E19" i="3"/>
  <c r="T18" i="3"/>
  <c r="Q18" i="3"/>
  <c r="N18" i="3"/>
  <c r="K18" i="3"/>
  <c r="H18" i="3"/>
  <c r="E18" i="3"/>
  <c r="T17" i="3"/>
  <c r="Q17" i="3"/>
  <c r="N17" i="3"/>
  <c r="K17" i="3"/>
  <c r="H17" i="3"/>
  <c r="E17" i="3"/>
  <c r="T16" i="3"/>
  <c r="Q16" i="3"/>
  <c r="N16" i="3"/>
  <c r="K16" i="3"/>
  <c r="H16" i="3"/>
  <c r="E16" i="3"/>
  <c r="T15" i="3"/>
  <c r="Q15" i="3"/>
  <c r="N15" i="3"/>
  <c r="K15" i="3"/>
  <c r="F15" i="3"/>
  <c r="E15" i="3"/>
  <c r="T14" i="3"/>
  <c r="Q14" i="3"/>
  <c r="N14" i="3"/>
  <c r="K14" i="3"/>
  <c r="F14" i="3"/>
  <c r="E14" i="3"/>
  <c r="T13" i="3"/>
  <c r="Q13" i="3"/>
  <c r="N13" i="3"/>
  <c r="K13" i="3"/>
  <c r="F13" i="3"/>
  <c r="E13" i="3"/>
  <c r="T12" i="3"/>
  <c r="Q12" i="3"/>
  <c r="N12" i="3"/>
  <c r="K12" i="3"/>
  <c r="F12" i="3"/>
  <c r="E12" i="3"/>
  <c r="T11" i="3"/>
  <c r="Q11" i="3"/>
  <c r="N11" i="3"/>
  <c r="K11" i="3"/>
  <c r="F11" i="3"/>
  <c r="E11" i="3"/>
  <c r="T10" i="3"/>
  <c r="Q10" i="3"/>
  <c r="N10" i="3"/>
  <c r="K10" i="3"/>
  <c r="F10" i="3"/>
  <c r="E10" i="3"/>
  <c r="T9" i="3"/>
  <c r="Q9" i="3"/>
  <c r="N9" i="3"/>
  <c r="K9" i="3"/>
  <c r="F9" i="3"/>
  <c r="E9" i="3"/>
  <c r="T8" i="3"/>
  <c r="Q8" i="3"/>
  <c r="N8" i="3"/>
  <c r="K8" i="3"/>
  <c r="F8" i="3"/>
  <c r="E8" i="3"/>
  <c r="T7" i="3"/>
  <c r="Q7" i="3"/>
  <c r="N7" i="3"/>
  <c r="K7" i="3"/>
  <c r="F7" i="3"/>
  <c r="T6" i="3"/>
  <c r="Q6" i="3"/>
  <c r="N6" i="3"/>
  <c r="K6" i="3"/>
  <c r="F6" i="3"/>
  <c r="E6" i="3"/>
  <c r="T5" i="3"/>
  <c r="Q5" i="3"/>
  <c r="N5" i="3"/>
  <c r="K5" i="3"/>
  <c r="F5" i="3"/>
  <c r="E5" i="3"/>
  <c r="T4" i="3"/>
  <c r="Q4" i="3"/>
  <c r="Q22" i="3" s="1"/>
  <c r="N4" i="3"/>
  <c r="N22" i="3" s="1"/>
  <c r="K4" i="3"/>
  <c r="F4" i="3"/>
  <c r="E4" i="3"/>
  <c r="F73" i="2"/>
  <c r="C73" i="2"/>
  <c r="B73" i="2"/>
  <c r="F59" i="2"/>
  <c r="C59" i="2"/>
  <c r="B59" i="2"/>
  <c r="F45" i="2"/>
  <c r="C45" i="2"/>
  <c r="B45" i="2"/>
  <c r="F31" i="2"/>
  <c r="C31" i="2"/>
  <c r="B31" i="2"/>
  <c r="M20" i="2"/>
  <c r="L20" i="2"/>
  <c r="L21" i="2" s="1"/>
  <c r="M19" i="2"/>
  <c r="T19" i="2" s="1"/>
  <c r="L19" i="2"/>
  <c r="S19" i="2" s="1"/>
  <c r="K19" i="2"/>
  <c r="R19" i="2" s="1"/>
  <c r="J19" i="2"/>
  <c r="Q19" i="2" s="1"/>
  <c r="I19" i="2"/>
  <c r="P19" i="2" s="1"/>
  <c r="F17" i="2"/>
  <c r="E17" i="2"/>
  <c r="D17" i="2"/>
  <c r="C17" i="2"/>
  <c r="B17" i="2"/>
  <c r="T16" i="2"/>
  <c r="S16" i="2"/>
  <c r="R16" i="2"/>
  <c r="Q16" i="2"/>
  <c r="P16" i="2"/>
  <c r="N13" i="1" s="1"/>
  <c r="T15" i="2"/>
  <c r="S15" i="2"/>
  <c r="R15" i="2"/>
  <c r="Q15" i="2"/>
  <c r="P15" i="2"/>
  <c r="M13" i="1" s="1"/>
  <c r="T14" i="2"/>
  <c r="S14" i="2"/>
  <c r="R14" i="2"/>
  <c r="Q14" i="2"/>
  <c r="P14" i="2"/>
  <c r="L13" i="1" s="1"/>
  <c r="T13" i="2"/>
  <c r="S13" i="2"/>
  <c r="R13" i="2"/>
  <c r="Q13" i="2"/>
  <c r="P13" i="2"/>
  <c r="K13" i="1" s="1"/>
  <c r="T12" i="2"/>
  <c r="S12" i="2"/>
  <c r="R12" i="2"/>
  <c r="Q12" i="2"/>
  <c r="P12" i="2"/>
  <c r="J13" i="1" s="1"/>
  <c r="T11" i="2"/>
  <c r="S11" i="2"/>
  <c r="R11" i="2"/>
  <c r="Q11" i="2"/>
  <c r="P11" i="2"/>
  <c r="I13" i="1" s="1"/>
  <c r="T10" i="2"/>
  <c r="S10" i="2"/>
  <c r="R10" i="2"/>
  <c r="Q10" i="2"/>
  <c r="P10" i="2"/>
  <c r="H13" i="1" s="1"/>
  <c r="T9" i="2"/>
  <c r="S9" i="2"/>
  <c r="R9" i="2"/>
  <c r="Q9" i="2"/>
  <c r="P9" i="2"/>
  <c r="G13" i="1" s="1"/>
  <c r="T8" i="2"/>
  <c r="S8" i="2"/>
  <c r="R8" i="2"/>
  <c r="Q8" i="2"/>
  <c r="P8" i="2"/>
  <c r="F13" i="1" s="1"/>
  <c r="T7" i="2"/>
  <c r="S7" i="2"/>
  <c r="R7" i="2"/>
  <c r="Q7" i="2"/>
  <c r="P7" i="2"/>
  <c r="T6" i="2"/>
  <c r="S6" i="2"/>
  <c r="R6" i="2"/>
  <c r="Q6" i="2"/>
  <c r="P6" i="2"/>
  <c r="D13" i="1" s="1"/>
  <c r="T5" i="2"/>
  <c r="S5" i="2"/>
  <c r="R5" i="2"/>
  <c r="Q5" i="2"/>
  <c r="P5" i="2"/>
  <c r="C13" i="1" s="1"/>
  <c r="M3" i="2"/>
  <c r="T3" i="2" s="1"/>
  <c r="L3" i="2"/>
  <c r="S3" i="2" s="1"/>
  <c r="K3" i="2"/>
  <c r="R3" i="2" s="1"/>
  <c r="J3" i="2"/>
  <c r="Q3" i="2" s="1"/>
  <c r="I3" i="2"/>
  <c r="P3" i="2" s="1"/>
  <c r="C28" i="1"/>
  <c r="D28" i="1" s="1"/>
  <c r="E28" i="1" s="1"/>
  <c r="F28" i="1" s="1"/>
  <c r="O23" i="1"/>
  <c r="P23" i="1" s="1"/>
  <c r="Q23" i="1" s="1"/>
  <c r="P14" i="1"/>
  <c r="Q14" i="1" s="1"/>
  <c r="O14" i="1"/>
  <c r="C11" i="1"/>
  <c r="D48" i="7" l="1"/>
  <c r="C26" i="1"/>
  <c r="Q17" i="2"/>
  <c r="R17" i="2"/>
  <c r="P17" i="2"/>
  <c r="E13" i="1"/>
  <c r="G28" i="1"/>
  <c r="H28" i="1" s="1"/>
  <c r="I28" i="1" s="1"/>
  <c r="J28" i="1" s="1"/>
  <c r="K28" i="1" s="1"/>
  <c r="L28" i="1" s="1"/>
  <c r="M28" i="1" s="1"/>
  <c r="N28" i="1" s="1"/>
  <c r="O20" i="5"/>
  <c r="N38" i="5"/>
  <c r="P72" i="7"/>
  <c r="P39" i="7"/>
  <c r="E54" i="3"/>
  <c r="E60" i="3" s="1"/>
  <c r="S20" i="2"/>
  <c r="S17" i="2"/>
  <c r="K22" i="3"/>
  <c r="M83" i="7"/>
  <c r="S21" i="2"/>
  <c r="L22" i="2"/>
  <c r="M39" i="7"/>
  <c r="M21" i="2"/>
  <c r="T20" i="2"/>
  <c r="O20" i="4"/>
  <c r="P5" i="4"/>
  <c r="T22" i="3"/>
  <c r="T17" i="2"/>
  <c r="C30" i="1"/>
  <c r="C3" i="8"/>
  <c r="B3" i="8"/>
  <c r="D15" i="7"/>
  <c r="D26" i="1"/>
  <c r="E26" i="1" s="1"/>
  <c r="F26" i="1" s="1"/>
  <c r="G26" i="1" s="1"/>
  <c r="H26" i="1" s="1"/>
  <c r="I26" i="1" s="1"/>
  <c r="J26" i="1" s="1"/>
  <c r="K26" i="1" s="1"/>
  <c r="L26" i="1" s="1"/>
  <c r="M26" i="1" s="1"/>
  <c r="N26" i="1" s="1"/>
  <c r="O13" i="1"/>
  <c r="N54" i="3"/>
  <c r="J96" i="7"/>
  <c r="J65" i="7"/>
  <c r="J48" i="7"/>
  <c r="Q54" i="3"/>
  <c r="G56" i="7"/>
  <c r="P65" i="7"/>
  <c r="D56" i="7"/>
  <c r="C17" i="1"/>
  <c r="T54" i="3"/>
  <c r="G65" i="7"/>
  <c r="G85" i="7" s="1"/>
  <c r="M96" i="7"/>
  <c r="I20" i="2"/>
  <c r="J20" i="2"/>
  <c r="D39" i="7"/>
  <c r="G83" i="7"/>
  <c r="K20" i="2"/>
  <c r="G39" i="7"/>
  <c r="J83" i="7"/>
  <c r="P5" i="5"/>
  <c r="E22" i="3"/>
  <c r="E28" i="3" s="1"/>
  <c r="K54" i="3"/>
  <c r="M15" i="7"/>
  <c r="P96" i="7"/>
  <c r="I21" i="2" l="1"/>
  <c r="P20" i="2"/>
  <c r="G14" i="3"/>
  <c r="H14" i="3" s="1"/>
  <c r="M22" i="1" s="1"/>
  <c r="G12" i="3"/>
  <c r="H12" i="3" s="1"/>
  <c r="K22" i="1" s="1"/>
  <c r="G10" i="3"/>
  <c r="H10" i="3" s="1"/>
  <c r="I22" i="1" s="1"/>
  <c r="I39" i="1" s="1"/>
  <c r="G8" i="3"/>
  <c r="H8" i="3" s="1"/>
  <c r="G22" i="1" s="1"/>
  <c r="G39" i="1" s="1"/>
  <c r="G6" i="3"/>
  <c r="H6" i="3" s="1"/>
  <c r="E22" i="1" s="1"/>
  <c r="E39" i="1" s="1"/>
  <c r="G4" i="3"/>
  <c r="H4" i="3" s="1"/>
  <c r="B5" i="8"/>
  <c r="B6" i="8" s="1"/>
  <c r="B7" i="8" s="1"/>
  <c r="G11" i="3"/>
  <c r="H11" i="3" s="1"/>
  <c r="J22" i="1" s="1"/>
  <c r="J39" i="1" s="1"/>
  <c r="G13" i="3"/>
  <c r="H13" i="3" s="1"/>
  <c r="L22" i="1" s="1"/>
  <c r="G5" i="3"/>
  <c r="H5" i="3" s="1"/>
  <c r="D22" i="1" s="1"/>
  <c r="G9" i="3"/>
  <c r="H9" i="3" s="1"/>
  <c r="H22" i="1" s="1"/>
  <c r="G7" i="3"/>
  <c r="H7" i="3" s="1"/>
  <c r="F22" i="1" s="1"/>
  <c r="G15" i="3"/>
  <c r="H15" i="3" s="1"/>
  <c r="N22" i="1" s="1"/>
  <c r="P20" i="5"/>
  <c r="P13" i="1"/>
  <c r="O17" i="1"/>
  <c r="J21" i="2"/>
  <c r="Q20" i="2"/>
  <c r="O26" i="1"/>
  <c r="P26" i="1" s="1"/>
  <c r="Q26" i="1" s="1"/>
  <c r="D85" i="7"/>
  <c r="B33" i="1" s="1"/>
  <c r="B39" i="1" s="1"/>
  <c r="C5" i="8"/>
  <c r="C6" i="8" s="1"/>
  <c r="C7" i="8" s="1"/>
  <c r="G44" i="3"/>
  <c r="H44" i="3" s="1"/>
  <c r="G38" i="3"/>
  <c r="H38" i="3" s="1"/>
  <c r="G46" i="3"/>
  <c r="H46" i="3" s="1"/>
  <c r="G42" i="3"/>
  <c r="H42" i="3" s="1"/>
  <c r="G40" i="3"/>
  <c r="H40" i="3" s="1"/>
  <c r="G36" i="3"/>
  <c r="H36" i="3" s="1"/>
  <c r="H54" i="3" s="1"/>
  <c r="G47" i="3"/>
  <c r="H47" i="3" s="1"/>
  <c r="G39" i="3"/>
  <c r="H39" i="3" s="1"/>
  <c r="G37" i="3"/>
  <c r="H37" i="3" s="1"/>
  <c r="G41" i="3"/>
  <c r="H41" i="3" s="1"/>
  <c r="G43" i="3"/>
  <c r="H43" i="3" s="1"/>
  <c r="G45" i="3"/>
  <c r="H45" i="3" s="1"/>
  <c r="D30" i="1"/>
  <c r="E30" i="1" s="1"/>
  <c r="F30" i="1" s="1"/>
  <c r="G30" i="1" s="1"/>
  <c r="H30" i="1" s="1"/>
  <c r="I30" i="1" s="1"/>
  <c r="J30" i="1" s="1"/>
  <c r="K30" i="1" s="1"/>
  <c r="L30" i="1" s="1"/>
  <c r="M30" i="1" s="1"/>
  <c r="N30" i="1" s="1"/>
  <c r="P20" i="4"/>
  <c r="Q5" i="4"/>
  <c r="Q5" i="5"/>
  <c r="O24" i="5"/>
  <c r="O38" i="5" s="1"/>
  <c r="T21" i="2"/>
  <c r="M22" i="2"/>
  <c r="K21" i="2"/>
  <c r="R20" i="2"/>
  <c r="S22" i="2"/>
  <c r="L23" i="2"/>
  <c r="O28" i="1"/>
  <c r="P28" i="1" s="1"/>
  <c r="Q28" i="1" s="1"/>
  <c r="K39" i="1" l="1"/>
  <c r="M39" i="1"/>
  <c r="C22" i="1"/>
  <c r="H22" i="3"/>
  <c r="Q20" i="5"/>
  <c r="R21" i="2"/>
  <c r="K22" i="2"/>
  <c r="P24" i="5"/>
  <c r="P38" i="5" s="1"/>
  <c r="O30" i="1"/>
  <c r="P30" i="1" s="1"/>
  <c r="Q30" i="1" s="1"/>
  <c r="J22" i="2"/>
  <c r="Q21" i="2"/>
  <c r="P17" i="1"/>
  <c r="Q13" i="1"/>
  <c r="Q17" i="1" s="1"/>
  <c r="T22" i="2"/>
  <c r="M23" i="2"/>
  <c r="H39" i="1"/>
  <c r="Q20" i="4"/>
  <c r="R5" i="4"/>
  <c r="R20" i="4" s="1"/>
  <c r="N43" i="1"/>
  <c r="B46" i="1"/>
  <c r="C45" i="1" s="1"/>
  <c r="B42" i="1"/>
  <c r="D39" i="1"/>
  <c r="L24" i="2"/>
  <c r="S23" i="2"/>
  <c r="N39" i="1"/>
  <c r="F39" i="1"/>
  <c r="R5" i="5"/>
  <c r="L39" i="1"/>
  <c r="P21" i="2"/>
  <c r="I22" i="2"/>
  <c r="R20" i="5" l="1"/>
  <c r="M24" i="2"/>
  <c r="T23" i="2"/>
  <c r="O22" i="1"/>
  <c r="C39" i="1"/>
  <c r="P22" i="2"/>
  <c r="I23" i="2"/>
  <c r="S24" i="2"/>
  <c r="L25" i="2"/>
  <c r="J23" i="2"/>
  <c r="Q22" i="2"/>
  <c r="R22" i="2"/>
  <c r="K23" i="2"/>
  <c r="Q24" i="5"/>
  <c r="Q38" i="5" s="1"/>
  <c r="C42" i="1" l="1"/>
  <c r="C40" i="1"/>
  <c r="D11" i="1" s="1"/>
  <c r="D17" i="1" s="1"/>
  <c r="C46" i="1"/>
  <c r="D45" i="1" s="1"/>
  <c r="T24" i="2"/>
  <c r="M25" i="2"/>
  <c r="R23" i="2"/>
  <c r="K24" i="2"/>
  <c r="Q23" i="2"/>
  <c r="J24" i="2"/>
  <c r="L26" i="2"/>
  <c r="S25" i="2"/>
  <c r="R24" i="5"/>
  <c r="R38" i="5" s="1"/>
  <c r="O39" i="1"/>
  <c r="P22" i="1"/>
  <c r="I24" i="2"/>
  <c r="P23" i="2"/>
  <c r="J25" i="2" l="1"/>
  <c r="Q24" i="2"/>
  <c r="D40" i="1"/>
  <c r="E11" i="1" s="1"/>
  <c r="E17" i="1" s="1"/>
  <c r="D42" i="1"/>
  <c r="L27" i="2"/>
  <c r="S26" i="2"/>
  <c r="D46" i="1"/>
  <c r="E45" i="1" s="1"/>
  <c r="P24" i="2"/>
  <c r="I25" i="2"/>
  <c r="R24" i="2"/>
  <c r="K25" i="2"/>
  <c r="T25" i="2"/>
  <c r="M26" i="2"/>
  <c r="Q22" i="1"/>
  <c r="Q39" i="1" s="1"/>
  <c r="Q43" i="1" s="1"/>
  <c r="P39" i="1"/>
  <c r="P43" i="1" s="1"/>
  <c r="O43" i="1"/>
  <c r="O42" i="1"/>
  <c r="E46" i="1" l="1"/>
  <c r="F45" i="1" s="1"/>
  <c r="K26" i="2"/>
  <c r="R25" i="2"/>
  <c r="I26" i="2"/>
  <c r="P25" i="2"/>
  <c r="L28" i="2"/>
  <c r="S27" i="2"/>
  <c r="E40" i="1"/>
  <c r="F11" i="1" s="1"/>
  <c r="F17" i="1" s="1"/>
  <c r="E42" i="1"/>
  <c r="J26" i="2"/>
  <c r="Q25" i="2"/>
  <c r="M27" i="2"/>
  <c r="T26" i="2"/>
  <c r="M43" i="1"/>
  <c r="M44" i="1" a="1"/>
  <c r="M44" i="1" s="1"/>
  <c r="T27" i="2" l="1"/>
  <c r="M28" i="2"/>
  <c r="J27" i="2"/>
  <c r="Q26" i="2"/>
  <c r="F40" i="1"/>
  <c r="G11" i="1" s="1"/>
  <c r="G17" i="1" s="1"/>
  <c r="F42" i="1"/>
  <c r="L29" i="2"/>
  <c r="S28" i="2"/>
  <c r="I27" i="2"/>
  <c r="P26" i="2"/>
  <c r="K27" i="2"/>
  <c r="R26" i="2"/>
  <c r="F46" i="1"/>
  <c r="G45" i="1" s="1"/>
  <c r="G46" i="1" l="1"/>
  <c r="H45" i="1" s="1"/>
  <c r="L30" i="2"/>
  <c r="S29" i="2"/>
  <c r="R27" i="2"/>
  <c r="K28" i="2"/>
  <c r="P27" i="2"/>
  <c r="I28" i="2"/>
  <c r="G40" i="1"/>
  <c r="H11" i="1" s="1"/>
  <c r="H17" i="1" s="1"/>
  <c r="G42" i="1"/>
  <c r="Q27" i="2"/>
  <c r="J28" i="2"/>
  <c r="M29" i="2"/>
  <c r="T28" i="2"/>
  <c r="H42" i="1" l="1"/>
  <c r="H40" i="1"/>
  <c r="I11" i="1" s="1"/>
  <c r="I17" i="1" s="1"/>
  <c r="K29" i="2"/>
  <c r="R28" i="2"/>
  <c r="M30" i="2"/>
  <c r="T29" i="2"/>
  <c r="J29" i="2"/>
  <c r="Q28" i="2"/>
  <c r="I29" i="2"/>
  <c r="P28" i="2"/>
  <c r="H46" i="1"/>
  <c r="I45" i="1" s="1"/>
  <c r="S30" i="2"/>
  <c r="S31" i="2" s="1"/>
  <c r="L33" i="2"/>
  <c r="I46" i="1" l="1"/>
  <c r="J45" i="1" s="1"/>
  <c r="P29" i="2"/>
  <c r="I30" i="2"/>
  <c r="S33" i="2"/>
  <c r="L34" i="2"/>
  <c r="J30" i="2"/>
  <c r="Q29" i="2"/>
  <c r="T30" i="2"/>
  <c r="T31" i="2" s="1"/>
  <c r="M33" i="2"/>
  <c r="K30" i="2"/>
  <c r="R29" i="2"/>
  <c r="I42" i="1"/>
  <c r="I40" i="1"/>
  <c r="J11" i="1" s="1"/>
  <c r="J17" i="1" s="1"/>
  <c r="R30" i="2" l="1"/>
  <c r="R31" i="2" s="1"/>
  <c r="K33" i="2"/>
  <c r="Q30" i="2"/>
  <c r="Q31" i="2" s="1"/>
  <c r="J33" i="2"/>
  <c r="J40" i="1"/>
  <c r="K11" i="1" s="1"/>
  <c r="K17" i="1" s="1"/>
  <c r="J42" i="1"/>
  <c r="T33" i="2"/>
  <c r="M34" i="2"/>
  <c r="L35" i="2"/>
  <c r="S34" i="2"/>
  <c r="J46" i="1"/>
  <c r="K45" i="1" s="1"/>
  <c r="P30" i="2"/>
  <c r="P31" i="2" s="1"/>
  <c r="I33" i="2"/>
  <c r="K46" i="1" l="1"/>
  <c r="P33" i="2"/>
  <c r="I34" i="2"/>
  <c r="S35" i="2"/>
  <c r="L36" i="2"/>
  <c r="M35" i="2"/>
  <c r="T34" i="2"/>
  <c r="K40" i="1"/>
  <c r="L11" i="1" s="1"/>
  <c r="L17" i="1" s="1"/>
  <c r="K42" i="1"/>
  <c r="Q33" i="2"/>
  <c r="J34" i="2"/>
  <c r="R33" i="2"/>
  <c r="K34" i="2"/>
  <c r="K35" i="2" l="1"/>
  <c r="R34" i="2"/>
  <c r="J35" i="2"/>
  <c r="Q34" i="2"/>
  <c r="L40" i="1"/>
  <c r="M11" i="1" s="1"/>
  <c r="M17" i="1" s="1"/>
  <c r="L42" i="1"/>
  <c r="T35" i="2"/>
  <c r="M36" i="2"/>
  <c r="S36" i="2"/>
  <c r="L37" i="2"/>
  <c r="P34" i="2"/>
  <c r="I35" i="2"/>
  <c r="P35" i="2" l="1"/>
  <c r="I36" i="2"/>
  <c r="L38" i="2"/>
  <c r="S37" i="2"/>
  <c r="T36" i="2"/>
  <c r="M37" i="2"/>
  <c r="M40" i="1"/>
  <c r="N11" i="1" s="1"/>
  <c r="N17" i="1" s="1"/>
  <c r="M42" i="1"/>
  <c r="J36" i="2"/>
  <c r="Q35" i="2"/>
  <c r="K36" i="2"/>
  <c r="R35" i="2"/>
  <c r="R36" i="2" l="1"/>
  <c r="K37" i="2"/>
  <c r="J37" i="2"/>
  <c r="Q36" i="2"/>
  <c r="N40" i="1"/>
  <c r="N42" i="1"/>
  <c r="M38" i="2"/>
  <c r="T37" i="2"/>
  <c r="S38" i="2"/>
  <c r="L39" i="2"/>
  <c r="I37" i="2"/>
  <c r="P36" i="2"/>
  <c r="I38" i="2" l="1"/>
  <c r="P37" i="2"/>
  <c r="L40" i="2"/>
  <c r="S39" i="2"/>
  <c r="M39" i="2"/>
  <c r="T38" i="2"/>
  <c r="J38" i="2"/>
  <c r="Q37" i="2"/>
  <c r="K38" i="2"/>
  <c r="R37" i="2"/>
  <c r="R38" i="2" l="1"/>
  <c r="K39" i="2"/>
  <c r="Q38" i="2"/>
  <c r="J39" i="2"/>
  <c r="T39" i="2"/>
  <c r="M40" i="2"/>
  <c r="S40" i="2"/>
  <c r="L41" i="2"/>
  <c r="P38" i="2"/>
  <c r="I39" i="2"/>
  <c r="I40" i="2" l="1"/>
  <c r="P39" i="2"/>
  <c r="S41" i="2"/>
  <c r="L42" i="2"/>
  <c r="T40" i="2"/>
  <c r="M41" i="2"/>
  <c r="J40" i="2"/>
  <c r="Q39" i="2"/>
  <c r="K40" i="2"/>
  <c r="R39" i="2"/>
  <c r="R40" i="2" l="1"/>
  <c r="K41" i="2"/>
  <c r="Q40" i="2"/>
  <c r="J41" i="2"/>
  <c r="T41" i="2"/>
  <c r="M42" i="2"/>
  <c r="L43" i="2"/>
  <c r="S42" i="2"/>
  <c r="P40" i="2"/>
  <c r="I41" i="2"/>
  <c r="P41" i="2" l="1"/>
  <c r="I42" i="2"/>
  <c r="S43" i="2"/>
  <c r="L44" i="2"/>
  <c r="M43" i="2"/>
  <c r="T42" i="2"/>
  <c r="Q41" i="2"/>
  <c r="J42" i="2"/>
  <c r="R41" i="2"/>
  <c r="K42" i="2"/>
  <c r="K43" i="2" l="1"/>
  <c r="R42" i="2"/>
  <c r="J43" i="2"/>
  <c r="Q42" i="2"/>
  <c r="T43" i="2"/>
  <c r="M44" i="2"/>
  <c r="S44" i="2"/>
  <c r="S45" i="2" s="1"/>
  <c r="L47" i="2"/>
  <c r="I43" i="2"/>
  <c r="P42" i="2"/>
  <c r="P43" i="2" l="1"/>
  <c r="I44" i="2"/>
  <c r="S47" i="2"/>
  <c r="L48" i="2"/>
  <c r="T44" i="2"/>
  <c r="T45" i="2" s="1"/>
  <c r="M47" i="2"/>
  <c r="J44" i="2"/>
  <c r="Q43" i="2"/>
  <c r="K44" i="2"/>
  <c r="R43" i="2"/>
  <c r="R44" i="2" l="1"/>
  <c r="R45" i="2" s="1"/>
  <c r="K47" i="2"/>
  <c r="T47" i="2"/>
  <c r="M48" i="2"/>
  <c r="L49" i="2"/>
  <c r="S48" i="2"/>
  <c r="J47" i="2"/>
  <c r="Q44" i="2"/>
  <c r="Q45" i="2" s="1"/>
  <c r="I47" i="2"/>
  <c r="P44" i="2"/>
  <c r="P45" i="2" s="1"/>
  <c r="M49" i="2" l="1"/>
  <c r="T48" i="2"/>
  <c r="P47" i="2"/>
  <c r="I48" i="2"/>
  <c r="Q47" i="2"/>
  <c r="J48" i="2"/>
  <c r="L50" i="2"/>
  <c r="S49" i="2"/>
  <c r="R47" i="2"/>
  <c r="K48" i="2"/>
  <c r="K49" i="2" l="1"/>
  <c r="R48" i="2"/>
  <c r="S50" i="2"/>
  <c r="L51" i="2"/>
  <c r="J49" i="2"/>
  <c r="Q48" i="2"/>
  <c r="M50" i="2"/>
  <c r="T49" i="2"/>
  <c r="P48" i="2"/>
  <c r="I49" i="2"/>
  <c r="T50" i="2" l="1"/>
  <c r="M51" i="2"/>
  <c r="J50" i="2"/>
  <c r="Q49" i="2"/>
  <c r="L52" i="2"/>
  <c r="S51" i="2"/>
  <c r="P49" i="2"/>
  <c r="I50" i="2"/>
  <c r="K50" i="2"/>
  <c r="R49" i="2"/>
  <c r="J51" i="2" l="1"/>
  <c r="Q50" i="2"/>
  <c r="R50" i="2"/>
  <c r="K51" i="2"/>
  <c r="I51" i="2"/>
  <c r="P50" i="2"/>
  <c r="M52" i="2"/>
  <c r="T51" i="2"/>
  <c r="L53" i="2"/>
  <c r="S52" i="2"/>
  <c r="T52" i="2" l="1"/>
  <c r="M53" i="2"/>
  <c r="L54" i="2"/>
  <c r="S53" i="2"/>
  <c r="K52" i="2"/>
  <c r="R51" i="2"/>
  <c r="I52" i="2"/>
  <c r="P51" i="2"/>
  <c r="J52" i="2"/>
  <c r="Q51" i="2"/>
  <c r="Q52" i="2" l="1"/>
  <c r="J53" i="2"/>
  <c r="P52" i="2"/>
  <c r="I53" i="2"/>
  <c r="T53" i="2"/>
  <c r="M54" i="2"/>
  <c r="R52" i="2"/>
  <c r="K53" i="2"/>
  <c r="L55" i="2"/>
  <c r="S54" i="2"/>
  <c r="J54" i="2" l="1"/>
  <c r="Q53" i="2"/>
  <c r="I54" i="2"/>
  <c r="P53" i="2"/>
  <c r="S55" i="2"/>
  <c r="L56" i="2"/>
  <c r="K54" i="2"/>
  <c r="R53" i="2"/>
  <c r="M55" i="2"/>
  <c r="T54" i="2"/>
  <c r="I55" i="2" l="1"/>
  <c r="P54" i="2"/>
  <c r="L57" i="2"/>
  <c r="S56" i="2"/>
  <c r="T55" i="2"/>
  <c r="M56" i="2"/>
  <c r="K55" i="2"/>
  <c r="R54" i="2"/>
  <c r="J55" i="2"/>
  <c r="Q54" i="2"/>
  <c r="Q55" i="2" l="1"/>
  <c r="J56" i="2"/>
  <c r="R55" i="2"/>
  <c r="K56" i="2"/>
  <c r="M57" i="2"/>
  <c r="T56" i="2"/>
  <c r="S57" i="2"/>
  <c r="L58" i="2"/>
  <c r="P55" i="2"/>
  <c r="I56" i="2"/>
  <c r="T57" i="2" l="1"/>
  <c r="M58" i="2"/>
  <c r="P56" i="2"/>
  <c r="I57" i="2"/>
  <c r="K57" i="2"/>
  <c r="R56" i="2"/>
  <c r="J57" i="2"/>
  <c r="Q56" i="2"/>
  <c r="S58" i="2"/>
  <c r="S59" i="2" s="1"/>
  <c r="L61" i="2"/>
  <c r="S61" i="2" l="1"/>
  <c r="L62" i="2"/>
  <c r="Q57" i="2"/>
  <c r="J58" i="2"/>
  <c r="R57" i="2"/>
  <c r="K58" i="2"/>
  <c r="P57" i="2"/>
  <c r="I58" i="2"/>
  <c r="T58" i="2"/>
  <c r="T59" i="2" s="1"/>
  <c r="M61" i="2"/>
  <c r="I61" i="2" l="1"/>
  <c r="P58" i="2"/>
  <c r="P59" i="2" s="1"/>
  <c r="R58" i="2"/>
  <c r="R59" i="2" s="1"/>
  <c r="K61" i="2"/>
  <c r="J61" i="2"/>
  <c r="Q58" i="2"/>
  <c r="Q59" i="2" s="1"/>
  <c r="L63" i="2"/>
  <c r="S62" i="2"/>
  <c r="T61" i="2"/>
  <c r="M62" i="2"/>
  <c r="Q61" i="2" l="1"/>
  <c r="J62" i="2"/>
  <c r="M63" i="2"/>
  <c r="T62" i="2"/>
  <c r="S63" i="2"/>
  <c r="L64" i="2"/>
  <c r="R61" i="2"/>
  <c r="K62" i="2"/>
  <c r="P61" i="2"/>
  <c r="I62" i="2"/>
  <c r="I63" i="2" l="1"/>
  <c r="P62" i="2"/>
  <c r="S64" i="2"/>
  <c r="L65" i="2"/>
  <c r="T63" i="2"/>
  <c r="M64" i="2"/>
  <c r="J63" i="2"/>
  <c r="Q62" i="2"/>
  <c r="K63" i="2"/>
  <c r="R62" i="2"/>
  <c r="R63" i="2" l="1"/>
  <c r="K64" i="2"/>
  <c r="T64" i="2"/>
  <c r="M65" i="2"/>
  <c r="L66" i="2"/>
  <c r="S65" i="2"/>
  <c r="P63" i="2"/>
  <c r="I64" i="2"/>
  <c r="Q63" i="2"/>
  <c r="J64" i="2"/>
  <c r="I65" i="2" l="1"/>
  <c r="P64" i="2"/>
  <c r="M66" i="2"/>
  <c r="T65" i="2"/>
  <c r="J65" i="2"/>
  <c r="Q64" i="2"/>
  <c r="S66" i="2"/>
  <c r="L67" i="2"/>
  <c r="R64" i="2"/>
  <c r="K65" i="2"/>
  <c r="T66" i="2" l="1"/>
  <c r="M67" i="2"/>
  <c r="R65" i="2"/>
  <c r="K66" i="2"/>
  <c r="L68" i="2"/>
  <c r="S67" i="2"/>
  <c r="Q65" i="2"/>
  <c r="J66" i="2"/>
  <c r="P65" i="2"/>
  <c r="I66" i="2"/>
  <c r="P66" i="2" l="1"/>
  <c r="I67" i="2"/>
  <c r="Q66" i="2"/>
  <c r="J67" i="2"/>
  <c r="L69" i="2"/>
  <c r="S68" i="2"/>
  <c r="R66" i="2"/>
  <c r="K67" i="2"/>
  <c r="T67" i="2"/>
  <c r="M68" i="2"/>
  <c r="M69" i="2" l="1"/>
  <c r="T68" i="2"/>
  <c r="K68" i="2"/>
  <c r="R67" i="2"/>
  <c r="S69" i="2"/>
  <c r="L70" i="2"/>
  <c r="J68" i="2"/>
  <c r="Q67" i="2"/>
  <c r="I68" i="2"/>
  <c r="P67" i="2"/>
  <c r="I69" i="2" l="1"/>
  <c r="P68" i="2"/>
  <c r="J69" i="2"/>
  <c r="Q68" i="2"/>
  <c r="L71" i="2"/>
  <c r="S70" i="2"/>
  <c r="K69" i="2"/>
  <c r="R68" i="2"/>
  <c r="T69" i="2"/>
  <c r="M70" i="2"/>
  <c r="M71" i="2" l="1"/>
  <c r="T70" i="2"/>
  <c r="R69" i="2"/>
  <c r="K70" i="2"/>
  <c r="L72" i="2"/>
  <c r="S72" i="2" s="1"/>
  <c r="S71" i="2"/>
  <c r="Q69" i="2"/>
  <c r="J70" i="2"/>
  <c r="P69" i="2"/>
  <c r="I70" i="2"/>
  <c r="P70" i="2" l="1"/>
  <c r="I71" i="2"/>
  <c r="J71" i="2"/>
  <c r="Q70" i="2"/>
  <c r="S73" i="2"/>
  <c r="S74" i="2" s="1"/>
  <c r="K71" i="2"/>
  <c r="R70" i="2"/>
  <c r="M72" i="2"/>
  <c r="T72" i="2" s="1"/>
  <c r="T71" i="2"/>
  <c r="T73" i="2" l="1"/>
  <c r="T74" i="2" s="1"/>
  <c r="K72" i="2"/>
  <c r="R72" i="2" s="1"/>
  <c r="R71" i="2"/>
  <c r="J72" i="2"/>
  <c r="Q72" i="2" s="1"/>
  <c r="Q71" i="2"/>
  <c r="P71" i="2"/>
  <c r="I72" i="2"/>
  <c r="P72" i="2" s="1"/>
  <c r="P73" i="2" s="1"/>
  <c r="P74" i="2" s="1"/>
  <c r="Q73" i="2" l="1"/>
  <c r="Q74" i="2" s="1"/>
  <c r="R73" i="2"/>
  <c r="R74" i="2" s="1"/>
</calcChain>
</file>

<file path=xl/sharedStrings.xml><?xml version="1.0" encoding="utf-8"?>
<sst xmlns="http://schemas.openxmlformats.org/spreadsheetml/2006/main" count="460" uniqueCount="117">
  <si>
    <t>CREC ANUAL (%)</t>
  </si>
  <si>
    <t>CREC INFLACIÓN AÑO</t>
  </si>
  <si>
    <t>FLUJO DE CAJA PROYECTADO</t>
  </si>
  <si>
    <t>TOTAL AÑO 1</t>
  </si>
  <si>
    <t>TOTAL AÑO 2</t>
  </si>
  <si>
    <t>TOTAL AÑO 3</t>
  </si>
  <si>
    <t>Mes 0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</si>
  <si>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</si>
  <si>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</si>
  <si>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</si>
  <si>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</si>
  <si>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</si>
  <si>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</si>
  <si>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</si>
  <si>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</si>
  <si>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</si>
  <si>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</si>
  <si>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</si>
  <si>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</si>
  <si>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Valor de inversión</t>
  </si>
  <si>
    <t>INGRESOS</t>
  </si>
  <si>
    <t>VENTAS PRODUCTO 1</t>
  </si>
  <si>
    <t>TOTAL INGRESOS</t>
  </si>
  <si>
    <t>EGRESOS</t>
  </si>
  <si>
    <t>COSTO DE PRODUCCIÓN PRODUCTO 1</t>
  </si>
  <si>
    <t>COSTOS INDIRECTOS DE PRODUCCIÓN</t>
  </si>
  <si>
    <t>PRESUPUESTO GASTOS FIJOS</t>
  </si>
  <si>
    <t>PRESUPUESTO GASTOS VARIABLES</t>
  </si>
  <si>
    <t>TOTAL DE INFRAESTRUCTURA</t>
  </si>
  <si>
    <t>TOTAL DE COSTOS DE PUESTA EN MARCHA</t>
  </si>
  <si>
    <t>TOTAL EGRESOS</t>
  </si>
  <si>
    <t>Superavit / déficit</t>
  </si>
  <si>
    <t>Consolidado</t>
  </si>
  <si>
    <t>Aportes de socios</t>
  </si>
  <si>
    <t>TIR</t>
  </si>
  <si>
    <t>VAN</t>
  </si>
  <si>
    <t>Saldo de Caja Inicial</t>
  </si>
  <si>
    <t>Saldo en caja Final</t>
  </si>
  <si>
    <t>LA TASA DE DESCUENTO ES DEL 10%</t>
  </si>
  <si>
    <t>Unidades</t>
  </si>
  <si>
    <t>Precios de venta</t>
  </si>
  <si>
    <t>Ingresos</t>
  </si>
  <si>
    <t>Producto 1</t>
  </si>
  <si>
    <t>producto 2</t>
  </si>
  <si>
    <t>Producto 3</t>
  </si>
  <si>
    <t>Producto 4</t>
  </si>
  <si>
    <t>Producto 5</t>
  </si>
  <si>
    <t>Año 1</t>
  </si>
  <si>
    <t>Total</t>
  </si>
  <si>
    <t>Año 2</t>
  </si>
  <si>
    <t>Año 3</t>
  </si>
  <si>
    <t>Año 4</t>
  </si>
  <si>
    <t>Año 5</t>
  </si>
  <si>
    <t>PRODUCTO 1</t>
  </si>
  <si>
    <t>Mensual</t>
  </si>
  <si>
    <t>Concepto</t>
  </si>
  <si>
    <t>Cantidad</t>
  </si>
  <si>
    <t>Valor Unitario</t>
  </si>
  <si>
    <t>Valor total</t>
  </si>
  <si>
    <t>Cant/mes</t>
  </si>
  <si>
    <t>Internet</t>
  </si>
  <si>
    <t xml:space="preserve">Material de capacitación </t>
  </si>
  <si>
    <t>unidades por lote producción</t>
  </si>
  <si>
    <t>valor unitario de producción</t>
  </si>
  <si>
    <t>PRODUCTO 2</t>
  </si>
  <si>
    <t>Costos indirectos de fabricación</t>
  </si>
  <si>
    <t xml:space="preserve">Electricidad </t>
  </si>
  <si>
    <t xml:space="preserve">Plataformas digitales </t>
  </si>
  <si>
    <t xml:space="preserve">Publicidad digital </t>
  </si>
  <si>
    <t>Gastos fijos mensuales</t>
  </si>
  <si>
    <t>Honorarios contador</t>
  </si>
  <si>
    <t>Gastos variables mensuales</t>
  </si>
  <si>
    <t>Publicidad</t>
  </si>
  <si>
    <t>Tarjetas de presentación</t>
  </si>
  <si>
    <t>Volantes</t>
  </si>
  <si>
    <t>Pagina web</t>
  </si>
  <si>
    <t>Transporte</t>
  </si>
  <si>
    <t>Inversiones</t>
  </si>
  <si>
    <t>Descripción</t>
  </si>
  <si>
    <t>Valor Total</t>
  </si>
  <si>
    <t>Construcciones y edificios</t>
  </si>
  <si>
    <t>Maquinaria y Equipo</t>
  </si>
  <si>
    <t xml:space="preserve">Portátil </t>
  </si>
  <si>
    <t>Celular)</t>
  </si>
  <si>
    <t xml:space="preserve">Batería portátil </t>
  </si>
  <si>
    <t>Muebles y Enseres</t>
  </si>
  <si>
    <t xml:space="preserve">Silla </t>
  </si>
  <si>
    <t xml:space="preserve">Escritorio </t>
  </si>
  <si>
    <t xml:space="preserve">Tablero </t>
  </si>
  <si>
    <t>Equipos de Transporte</t>
  </si>
  <si>
    <t>Equipos de Oficina</t>
  </si>
  <si>
    <t xml:space="preserve">Impresora </t>
  </si>
  <si>
    <t xml:space="preserve">Audífonos </t>
  </si>
  <si>
    <t>Semovientes pie de Cria</t>
  </si>
  <si>
    <t>Cultivos Permanentes</t>
  </si>
  <si>
    <t xml:space="preserve">Total </t>
  </si>
  <si>
    <t>Total Inversiones</t>
  </si>
  <si>
    <t>Costos de puesta en marcha (Gastos preoperativos)</t>
  </si>
  <si>
    <t>Licencias</t>
  </si>
  <si>
    <t>Paguin web )</t>
  </si>
  <si>
    <t>Producto 2</t>
  </si>
  <si>
    <t>Precio Venta</t>
  </si>
  <si>
    <t>Costo unitario</t>
  </si>
  <si>
    <t>Margen contribución</t>
  </si>
  <si>
    <t>Punto de equilibrio</t>
  </si>
  <si>
    <t>Dominio</t>
  </si>
  <si>
    <t>servidor</t>
  </si>
  <si>
    <t xml:space="preserve">Marketing </t>
  </si>
  <si>
    <t>mano de obra(mes)</t>
  </si>
  <si>
    <t>arrirndo</t>
  </si>
  <si>
    <t>sservicios</t>
  </si>
  <si>
    <t>gerente</t>
  </si>
  <si>
    <t>ventas</t>
  </si>
  <si>
    <t>atencion al cliente</t>
  </si>
  <si>
    <t>internet</t>
  </si>
  <si>
    <t>camara de comrcuio</t>
  </si>
  <si>
    <t>desarrollo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</si>
</sst>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"/>
    <numFmt numFmtId="165" formatCode="_-* #,##0_-;\-* #,##0_-;_-* &quot;-&quot;??_-;_-@"/>
    <numFmt numFmtId="166" formatCode="_ &quot;$&quot;\ * #,##0.00_ ;_ &quot;$&quot;\ * \-#,##0.00_ ;_ &quot;$&quot;\ * &quot;-&quot;??_ ;_ @_ "/>
    <numFmt numFmtId="167" formatCode="_ &quot;$&quot;\ * #,##0_ ;_ &quot;$&quot;\ * \-#,##0_ ;_ &quot;$&quot;\ * &quot;-&quot;??_ ;_ @_ "/>
    <numFmt numFmtId="168" formatCode="_-&quot;$&quot;\ * #,##0.00_-;\-&quot;$&quot;\ * #,##0.00_-;_-&quot;$&quot;\ * &quot;-&quot;??_-;_-@"/>
  </numFmts>
  <fonts count="13" x14ac:knownFonts="1">
    <font>
      <sz val="10"/>
      <color rgb="FF000000"/>
      <name val="Arial"/>
      <scheme val="minor"/>
    </font>
    <font>
      <sz val="10"/>
      <color theme="1"/>
      <name val="Arial"/>
    </font>
    <font>
      <sz val="11"/>
      <color rgb="FF000000"/>
      <name val="Calibri"/>
    </font>
    <font>
      <sz val="10"/>
      <color theme="1"/>
      <name val="Calibri"/>
    </font>
    <font>
      <sz val="10"/>
      <color rgb="FF000000"/>
      <name val="Arial"/>
    </font>
    <font>
      <b/>
      <sz val="14"/>
      <color rgb="FF000000"/>
      <name val="Calibri"/>
    </font>
    <font>
      <sz val="10"/>
      <name val="Arial"/>
    </font>
    <font>
      <b/>
      <sz val="11"/>
      <color rgb="FF000000"/>
      <name val="Calibri"/>
    </font>
    <font>
      <b/>
      <sz val="12"/>
      <color rgb="FF000000"/>
      <name val="Calibri"/>
    </font>
    <font>
      <b/>
      <sz val="10"/>
      <color theme="1"/>
      <name val="Arial"/>
    </font>
    <font>
      <b/>
      <sz val="12"/>
      <color theme="1"/>
      <name val="Arial"/>
    </font>
    <font>
      <sz val="12"/>
      <color theme="1"/>
      <name val="Arial"/>
    </font>
    <font>
      <sz val="10"/>
      <color rgb="FFFF0000"/>
      <name val="Arial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99CCFF"/>
        <bgColor rgb="FF99CCFF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rgb="FFFF8080"/>
        <bgColor rgb="FFFF8080"/>
      </patternFill>
    </fill>
    <fill>
      <patternFill patternType="solid">
        <fgColor rgb="FFF2DBDB"/>
        <bgColor rgb="FFF2DBDB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FABF8F"/>
        <bgColor rgb="FFFABF8F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3" fillId="2" borderId="1" xfId="0" applyNumberFormat="1" applyFont="1" applyFill="1" applyBorder="1"/>
    <xf numFmtId="38" fontId="2" fillId="0" borderId="0" xfId="0" applyNumberFormat="1" applyFont="1"/>
    <xf numFmtId="38" fontId="1" fillId="0" borderId="0" xfId="0" applyNumberFormat="1" applyFont="1"/>
    <xf numFmtId="0" fontId="3" fillId="2" borderId="2" xfId="0" applyFont="1" applyFill="1" applyBorder="1"/>
    <xf numFmtId="0" fontId="4" fillId="0" borderId="0" xfId="0" applyFont="1"/>
    <xf numFmtId="0" fontId="1" fillId="3" borderId="3" xfId="0" applyFont="1" applyFill="1" applyBorder="1"/>
    <xf numFmtId="0" fontId="1" fillId="5" borderId="7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1" fillId="5" borderId="7" xfId="0" applyFont="1" applyFill="1" applyBorder="1"/>
    <xf numFmtId="0" fontId="7" fillId="5" borderId="7" xfId="0" applyFont="1" applyFill="1" applyBorder="1" applyAlignment="1">
      <alignment horizontal="center"/>
    </xf>
    <xf numFmtId="0" fontId="8" fillId="0" borderId="7" xfId="0" applyFont="1" applyBorder="1"/>
    <xf numFmtId="38" fontId="2" fillId="0" borderId="7" xfId="0" applyNumberFormat="1" applyFont="1" applyBorder="1" applyAlignment="1">
      <alignment horizontal="right"/>
    </xf>
    <xf numFmtId="38" fontId="2" fillId="0" borderId="4" xfId="0" applyNumberFormat="1" applyFont="1" applyBorder="1" applyAlignment="1">
      <alignment horizontal="right"/>
    </xf>
    <xf numFmtId="0" fontId="9" fillId="5" borderId="7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38" fontId="2" fillId="0" borderId="7" xfId="0" applyNumberFormat="1" applyFont="1" applyBorder="1"/>
    <xf numFmtId="38" fontId="2" fillId="0" borderId="4" xfId="0" applyNumberFormat="1" applyFont="1" applyBorder="1"/>
    <xf numFmtId="0" fontId="2" fillId="0" borderId="7" xfId="0" applyFont="1" applyBorder="1"/>
    <xf numFmtId="38" fontId="2" fillId="6" borderId="7" xfId="0" applyNumberFormat="1" applyFont="1" applyFill="1" applyBorder="1"/>
    <xf numFmtId="38" fontId="2" fillId="6" borderId="8" xfId="0" applyNumberFormat="1" applyFont="1" applyFill="1" applyBorder="1"/>
    <xf numFmtId="38" fontId="1" fillId="5" borderId="7" xfId="0" applyNumberFormat="1" applyFont="1" applyFill="1" applyBorder="1"/>
    <xf numFmtId="165" fontId="1" fillId="5" borderId="7" xfId="0" applyNumberFormat="1" applyFont="1" applyFill="1" applyBorder="1"/>
    <xf numFmtId="0" fontId="5" fillId="4" borderId="7" xfId="0" applyFont="1" applyFill="1" applyBorder="1" applyAlignment="1">
      <alignment horizontal="center"/>
    </xf>
    <xf numFmtId="38" fontId="7" fillId="4" borderId="7" xfId="0" applyNumberFormat="1" applyFont="1" applyFill="1" applyBorder="1"/>
    <xf numFmtId="38" fontId="7" fillId="4" borderId="8" xfId="0" applyNumberFormat="1" applyFont="1" applyFill="1" applyBorder="1"/>
    <xf numFmtId="0" fontId="2" fillId="0" borderId="9" xfId="0" applyFont="1" applyBorder="1"/>
    <xf numFmtId="0" fontId="8" fillId="0" borderId="7" xfId="0" applyFont="1" applyBorder="1" applyAlignment="1">
      <alignment horizontal="center"/>
    </xf>
    <xf numFmtId="164" fontId="1" fillId="5" borderId="7" xfId="0" applyNumberFormat="1" applyFont="1" applyFill="1" applyBorder="1"/>
    <xf numFmtId="0" fontId="2" fillId="0" borderId="10" xfId="0" applyFont="1" applyBorder="1"/>
    <xf numFmtId="0" fontId="7" fillId="0" borderId="7" xfId="0" applyFont="1" applyBorder="1"/>
    <xf numFmtId="38" fontId="5" fillId="4" borderId="7" xfId="0" applyNumberFormat="1" applyFont="1" applyFill="1" applyBorder="1" applyAlignment="1">
      <alignment horizontal="center"/>
    </xf>
    <xf numFmtId="38" fontId="2" fillId="4" borderId="7" xfId="0" applyNumberFormat="1" applyFont="1" applyFill="1" applyBorder="1"/>
    <xf numFmtId="0" fontId="7" fillId="7" borderId="7" xfId="0" applyFont="1" applyFill="1" applyBorder="1" applyAlignment="1">
      <alignment horizontal="center"/>
    </xf>
    <xf numFmtId="38" fontId="2" fillId="8" borderId="7" xfId="0" applyNumberFormat="1" applyFont="1" applyFill="1" applyBorder="1"/>
    <xf numFmtId="38" fontId="2" fillId="8" borderId="8" xfId="0" applyNumberFormat="1" applyFont="1" applyFill="1" applyBorder="1"/>
    <xf numFmtId="0" fontId="5" fillId="3" borderId="3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1" fillId="9" borderId="7" xfId="0" applyFont="1" applyFill="1" applyBorder="1" applyAlignment="1">
      <alignment horizontal="center"/>
    </xf>
    <xf numFmtId="9" fontId="1" fillId="9" borderId="7" xfId="0" applyNumberFormat="1" applyFont="1" applyFill="1" applyBorder="1" applyAlignment="1">
      <alignment horizontal="center"/>
    </xf>
    <xf numFmtId="38" fontId="9" fillId="9" borderId="7" xfId="0" applyNumberFormat="1" applyFont="1" applyFill="1" applyBorder="1" applyAlignment="1">
      <alignment horizontal="center"/>
    </xf>
    <xf numFmtId="38" fontId="1" fillId="9" borderId="7" xfId="0" applyNumberFormat="1" applyFont="1" applyFill="1" applyBorder="1"/>
    <xf numFmtId="0" fontId="2" fillId="3" borderId="3" xfId="0" applyFont="1" applyFill="1" applyBorder="1"/>
    <xf numFmtId="38" fontId="7" fillId="3" borderId="3" xfId="0" applyNumberFormat="1" applyFont="1" applyFill="1" applyBorder="1" applyAlignment="1">
      <alignment horizontal="center"/>
    </xf>
    <xf numFmtId="38" fontId="7" fillId="9" borderId="7" xfId="0" applyNumberFormat="1" applyFont="1" applyFill="1" applyBorder="1" applyAlignment="1">
      <alignment horizontal="center"/>
    </xf>
    <xf numFmtId="0" fontId="1" fillId="9" borderId="7" xfId="0" applyFont="1" applyFill="1" applyBorder="1"/>
    <xf numFmtId="0" fontId="8" fillId="3" borderId="3" xfId="0" applyFont="1" applyFill="1" applyBorder="1"/>
    <xf numFmtId="38" fontId="2" fillId="3" borderId="3" xfId="0" applyNumberFormat="1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165" fontId="5" fillId="3" borderId="3" xfId="0" applyNumberFormat="1" applyFont="1" applyFill="1" applyBorder="1" applyAlignment="1">
      <alignment horizontal="center"/>
    </xf>
    <xf numFmtId="38" fontId="2" fillId="3" borderId="3" xfId="0" applyNumberFormat="1" applyFont="1" applyFill="1" applyBorder="1"/>
    <xf numFmtId="38" fontId="7" fillId="3" borderId="3" xfId="0" applyNumberFormat="1" applyFont="1" applyFill="1" applyBorder="1"/>
    <xf numFmtId="0" fontId="10" fillId="0" borderId="0" xfId="0" applyFont="1"/>
    <xf numFmtId="0" fontId="11" fillId="0" borderId="0" xfId="0" applyFont="1" applyAlignment="1">
      <alignment horizontal="center"/>
    </xf>
    <xf numFmtId="0" fontId="11" fillId="0" borderId="0" xfId="0" applyFont="1"/>
    <xf numFmtId="0" fontId="11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7" xfId="0" applyFont="1" applyBorder="1"/>
    <xf numFmtId="4" fontId="11" fillId="2" borderId="7" xfId="0" applyNumberFormat="1" applyFont="1" applyFill="1" applyBorder="1" applyAlignment="1">
      <alignment horizontal="center"/>
    </xf>
    <xf numFmtId="4" fontId="11" fillId="10" borderId="7" xfId="0" applyNumberFormat="1" applyFont="1" applyFill="1" applyBorder="1"/>
    <xf numFmtId="4" fontId="11" fillId="0" borderId="7" xfId="0" applyNumberFormat="1" applyFont="1" applyBorder="1" applyAlignment="1">
      <alignment horizontal="center"/>
    </xf>
    <xf numFmtId="4" fontId="11" fillId="2" borderId="7" xfId="0" applyNumberFormat="1" applyFont="1" applyFill="1" applyBorder="1"/>
    <xf numFmtId="4" fontId="11" fillId="0" borderId="7" xfId="0" applyNumberFormat="1" applyFont="1" applyBorder="1"/>
    <xf numFmtId="4" fontId="11" fillId="6" borderId="7" xfId="0" applyNumberFormat="1" applyFont="1" applyFill="1" applyBorder="1"/>
    <xf numFmtId="0" fontId="10" fillId="0" borderId="7" xfId="0" applyFont="1" applyBorder="1"/>
    <xf numFmtId="4" fontId="10" fillId="0" borderId="7" xfId="0" applyNumberFormat="1" applyFont="1" applyBorder="1"/>
    <xf numFmtId="4" fontId="10" fillId="0" borderId="7" xfId="0" applyNumberFormat="1" applyFont="1" applyBorder="1" applyAlignment="1">
      <alignment horizontal="center"/>
    </xf>
    <xf numFmtId="166" fontId="1" fillId="0" borderId="0" xfId="0" applyNumberFormat="1" applyFont="1"/>
    <xf numFmtId="0" fontId="10" fillId="0" borderId="4" xfId="0" applyFont="1" applyBorder="1" applyAlignment="1">
      <alignment horizontal="center"/>
    </xf>
    <xf numFmtId="0" fontId="11" fillId="2" borderId="7" xfId="0" applyFont="1" applyFill="1" applyBorder="1"/>
    <xf numFmtId="0" fontId="11" fillId="6" borderId="7" xfId="0" applyFont="1" applyFill="1" applyBorder="1"/>
    <xf numFmtId="4" fontId="11" fillId="6" borderId="7" xfId="0" applyNumberFormat="1" applyFont="1" applyFill="1" applyBorder="1" applyAlignment="1">
      <alignment horizontal="center"/>
    </xf>
    <xf numFmtId="167" fontId="11" fillId="6" borderId="7" xfId="0" applyNumberFormat="1" applyFont="1" applyFill="1" applyBorder="1"/>
    <xf numFmtId="167" fontId="11" fillId="0" borderId="7" xfId="0" applyNumberFormat="1" applyFont="1" applyBorder="1"/>
    <xf numFmtId="0" fontId="11" fillId="2" borderId="7" xfId="0" applyFont="1" applyFill="1" applyBorder="1" applyAlignment="1">
      <alignment horizontal="left"/>
    </xf>
    <xf numFmtId="0" fontId="4" fillId="2" borderId="3" xfId="0" applyFont="1" applyFill="1" applyBorder="1"/>
    <xf numFmtId="0" fontId="11" fillId="2" borderId="7" xfId="0" applyFont="1" applyFill="1" applyBorder="1" applyAlignment="1">
      <alignment horizontal="right"/>
    </xf>
    <xf numFmtId="0" fontId="9" fillId="0" borderId="0" xfId="0" applyFont="1"/>
    <xf numFmtId="166" fontId="10" fillId="6" borderId="7" xfId="0" applyNumberFormat="1" applyFont="1" applyFill="1" applyBorder="1"/>
    <xf numFmtId="166" fontId="10" fillId="0" borderId="7" xfId="0" applyNumberFormat="1" applyFont="1" applyBorder="1"/>
    <xf numFmtId="0" fontId="1" fillId="2" borderId="7" xfId="0" applyFont="1" applyFill="1" applyBorder="1"/>
    <xf numFmtId="0" fontId="1" fillId="0" borderId="0" xfId="0" applyFont="1" applyAlignment="1">
      <alignment horizontal="center"/>
    </xf>
    <xf numFmtId="168" fontId="1" fillId="6" borderId="3" xfId="0" applyNumberFormat="1" applyFont="1" applyFill="1" applyBorder="1"/>
    <xf numFmtId="3" fontId="11" fillId="6" borderId="7" xfId="0" applyNumberFormat="1" applyFont="1" applyFill="1" applyBorder="1" applyAlignment="1">
      <alignment horizontal="center"/>
    </xf>
    <xf numFmtId="0" fontId="11" fillId="0" borderId="7" xfId="0" applyFont="1" applyBorder="1" applyAlignment="1">
      <alignment horizontal="left"/>
    </xf>
    <xf numFmtId="3" fontId="11" fillId="2" borderId="7" xfId="0" applyNumberFormat="1" applyFont="1" applyFill="1" applyBorder="1" applyAlignment="1">
      <alignment horizontal="right"/>
    </xf>
    <xf numFmtId="3" fontId="11" fillId="0" borderId="7" xfId="0" applyNumberFormat="1" applyFont="1" applyBorder="1" applyAlignment="1">
      <alignment horizontal="right"/>
    </xf>
    <xf numFmtId="0" fontId="10" fillId="0" borderId="7" xfId="0" applyFont="1" applyBorder="1" applyAlignment="1">
      <alignment horizontal="left"/>
    </xf>
    <xf numFmtId="3" fontId="10" fillId="6" borderId="7" xfId="0" applyNumberFormat="1" applyFont="1" applyFill="1" applyBorder="1" applyAlignment="1">
      <alignment horizontal="right"/>
    </xf>
    <xf numFmtId="3" fontId="10" fillId="0" borderId="7" xfId="0" applyNumberFormat="1" applyFont="1" applyBorder="1" applyAlignment="1">
      <alignment horizontal="right"/>
    </xf>
    <xf numFmtId="0" fontId="10" fillId="0" borderId="0" xfId="0" applyFont="1" applyAlignment="1">
      <alignment horizontal="left"/>
    </xf>
    <xf numFmtId="3" fontId="10" fillId="0" borderId="0" xfId="0" applyNumberFormat="1" applyFont="1" applyAlignment="1">
      <alignment horizontal="right"/>
    </xf>
    <xf numFmtId="0" fontId="10" fillId="0" borderId="0" xfId="0" applyFont="1" applyAlignment="1">
      <alignment horizontal="center"/>
    </xf>
    <xf numFmtId="0" fontId="11" fillId="0" borderId="4" xfId="0" applyFont="1" applyBorder="1" applyAlignment="1">
      <alignment horizontal="left"/>
    </xf>
    <xf numFmtId="3" fontId="11" fillId="0" borderId="0" xfId="0" applyNumberFormat="1" applyFont="1" applyAlignment="1">
      <alignment horizontal="right"/>
    </xf>
    <xf numFmtId="0" fontId="10" fillId="0" borderId="4" xfId="0" applyFont="1" applyBorder="1" applyAlignment="1">
      <alignment horizontal="left"/>
    </xf>
    <xf numFmtId="0" fontId="9" fillId="0" borderId="7" xfId="0" applyFont="1" applyBorder="1" applyAlignment="1">
      <alignment horizontal="center"/>
    </xf>
    <xf numFmtId="0" fontId="9" fillId="11" borderId="7" xfId="0" applyFont="1" applyFill="1" applyBorder="1" applyAlignment="1">
      <alignment horizontal="left"/>
    </xf>
    <xf numFmtId="0" fontId="1" fillId="0" borderId="7" xfId="0" applyFont="1" applyBorder="1"/>
    <xf numFmtId="3" fontId="1" fillId="0" borderId="7" xfId="0" applyNumberFormat="1" applyFont="1" applyBorder="1"/>
    <xf numFmtId="0" fontId="1" fillId="2" borderId="7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center"/>
    </xf>
    <xf numFmtId="3" fontId="1" fillId="2" borderId="7" xfId="0" applyNumberFormat="1" applyFont="1" applyFill="1" applyBorder="1"/>
    <xf numFmtId="3" fontId="1" fillId="6" borderId="7" xfId="0" applyNumberFormat="1" applyFont="1" applyFill="1" applyBorder="1"/>
    <xf numFmtId="3" fontId="12" fillId="2" borderId="7" xfId="0" applyNumberFormat="1" applyFont="1" applyFill="1" applyBorder="1"/>
    <xf numFmtId="0" fontId="9" fillId="0" borderId="7" xfId="0" applyFont="1" applyBorder="1" applyAlignment="1">
      <alignment horizontal="left"/>
    </xf>
    <xf numFmtId="3" fontId="9" fillId="6" borderId="7" xfId="0" applyNumberFormat="1" applyFont="1" applyFill="1" applyBorder="1" applyAlignment="1">
      <alignment horizontal="right"/>
    </xf>
    <xf numFmtId="3" fontId="9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9" fillId="0" borderId="7" xfId="0" applyFont="1" applyBorder="1"/>
    <xf numFmtId="3" fontId="9" fillId="0" borderId="7" xfId="0" applyNumberFormat="1" applyFont="1" applyBorder="1"/>
    <xf numFmtId="3" fontId="9" fillId="6" borderId="7" xfId="0" applyNumberFormat="1" applyFont="1" applyFill="1" applyBorder="1"/>
    <xf numFmtId="3" fontId="1" fillId="2" borderId="7" xfId="0" applyNumberFormat="1" applyFont="1" applyFill="1" applyBorder="1" applyAlignment="1">
      <alignment horizontal="right"/>
    </xf>
    <xf numFmtId="0" fontId="9" fillId="2" borderId="7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right"/>
    </xf>
    <xf numFmtId="0" fontId="9" fillId="2" borderId="7" xfId="0" applyFont="1" applyFill="1" applyBorder="1" applyAlignment="1">
      <alignment horizontal="left"/>
    </xf>
    <xf numFmtId="0" fontId="1" fillId="0" borderId="10" xfId="0" applyFont="1" applyBorder="1" applyAlignment="1">
      <alignment horizontal="left"/>
    </xf>
    <xf numFmtId="3" fontId="11" fillId="0" borderId="7" xfId="0" applyNumberFormat="1" applyFont="1" applyBorder="1"/>
    <xf numFmtId="168" fontId="11" fillId="0" borderId="7" xfId="0" applyNumberFormat="1" applyFont="1" applyBorder="1"/>
    <xf numFmtId="2" fontId="11" fillId="0" borderId="7" xfId="0" applyNumberFormat="1" applyFont="1" applyBorder="1"/>
    <xf numFmtId="0" fontId="1" fillId="0" borderId="0" xfId="0" applyFont="1"/>
    <xf numFmtId="0" fontId="0" fillId="0" borderId="0" xfId="0"/>
    <xf numFmtId="0" fontId="5" fillId="4" borderId="4" xfId="0" applyFont="1" applyFill="1" applyBorder="1" applyAlignment="1">
      <alignment horizontal="center"/>
    </xf>
    <xf numFmtId="0" fontId="6" fillId="0" borderId="5" xfId="0" applyFont="1" applyBorder="1"/>
    <xf numFmtId="0" fontId="6" fillId="0" borderId="6" xfId="0" applyFont="1" applyBorder="1"/>
    <xf numFmtId="0" fontId="9" fillId="0" borderId="0" xfId="0" applyFont="1" applyAlignment="1">
      <alignment horizontal="center"/>
    </xf>
    <xf numFmtId="0" fontId="10" fillId="0" borderId="4" xfId="0" applyFont="1" applyBorder="1" applyAlignment="1">
      <alignment horizontal="center"/>
    </xf>
    <xf numFmtId="0" fontId="6" fillId="0" borderId="11" xfId="0" applyFont="1" applyBorder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0</xdr:row>
      <xdr:rowOff>161925</xdr:rowOff>
    </xdr:from>
    <xdr:ext cx="4248150" cy="7524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topLeftCell="B25" workbookViewId="0">
      <selection activeCell="H40" sqref="H40"/>
    </sheetView>
  </sheetViews>
  <sheetFormatPr baseColWidth="10" defaultColWidth="12.6640625" defaultRowHeight="15" customHeight="1" x14ac:dyDescent="0.25"/>
  <cols>
    <col min="1" max="1" width="48.88671875" customWidth="1"/>
    <col min="2" max="2" width="18.88671875" customWidth="1"/>
    <col min="3" max="3" width="18.33203125" customWidth="1"/>
    <col min="4" max="4" width="19.44140625" customWidth="1"/>
    <col min="5" max="5" width="18.44140625" customWidth="1"/>
    <col min="6" max="6" width="17" customWidth="1"/>
    <col min="7" max="7" width="17.88671875" customWidth="1"/>
    <col min="8" max="8" width="16.6640625" customWidth="1"/>
    <col min="9" max="9" width="17.44140625" customWidth="1"/>
    <col min="10" max="10" width="15.6640625" customWidth="1"/>
    <col min="11" max="11" width="17.33203125" customWidth="1"/>
    <col min="12" max="12" width="15.6640625" customWidth="1"/>
    <col min="13" max="13" width="18.6640625" customWidth="1"/>
    <col min="14" max="14" width="14.6640625" customWidth="1"/>
    <col min="15" max="16" width="17.33203125" customWidth="1"/>
    <col min="17" max="17" width="22.33203125" customWidth="1"/>
    <col min="18" max="18" width="10" customWidth="1"/>
    <col min="19" max="27" width="14.44140625" customWidth="1"/>
  </cols>
  <sheetData>
    <row r="1" spans="1:17" ht="15" customHeight="1" x14ac:dyDescent="0.3">
      <c r="A1" s="127"/>
      <c r="B1" s="128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1"/>
      <c r="P1" s="1"/>
      <c r="Q1" s="1"/>
    </row>
    <row r="2" spans="1:17" ht="15" customHeight="1" x14ac:dyDescent="0.3">
      <c r="A2" s="128"/>
      <c r="B2" s="128"/>
      <c r="C2" s="3" t="s">
        <v>0</v>
      </c>
      <c r="D2" s="4">
        <v>10</v>
      </c>
      <c r="E2" s="1"/>
      <c r="F2" s="1"/>
      <c r="G2" s="1"/>
      <c r="H2" s="2"/>
      <c r="I2" s="2"/>
      <c r="J2" s="5"/>
      <c r="K2" s="2"/>
      <c r="L2" s="2"/>
      <c r="M2" s="2"/>
      <c r="N2" s="2"/>
      <c r="O2" s="6"/>
      <c r="P2" s="1"/>
      <c r="Q2" s="1"/>
    </row>
    <row r="3" spans="1:17" ht="15" customHeight="1" x14ac:dyDescent="0.3">
      <c r="A3" s="128"/>
      <c r="B3" s="128"/>
      <c r="C3" s="3" t="s">
        <v>1</v>
      </c>
      <c r="D3" s="7">
        <v>8</v>
      </c>
      <c r="E3" s="1"/>
      <c r="F3" s="1"/>
      <c r="G3" s="1"/>
      <c r="H3" s="2"/>
      <c r="I3" s="2"/>
      <c r="J3" s="5"/>
      <c r="K3" s="2"/>
      <c r="L3" s="2"/>
      <c r="M3" s="2"/>
      <c r="N3" s="2"/>
      <c r="O3" s="1"/>
      <c r="P3" s="1"/>
      <c r="Q3" s="1"/>
    </row>
    <row r="4" spans="1:17" ht="15" customHeight="1" x14ac:dyDescent="0.3">
      <c r="A4" s="128"/>
      <c r="B4" s="128"/>
      <c r="C4" s="1"/>
      <c r="D4" s="1"/>
      <c r="E4" s="1"/>
      <c r="F4" s="1"/>
      <c r="G4" s="1"/>
      <c r="H4" s="2"/>
      <c r="I4" s="2"/>
      <c r="J4" s="2"/>
      <c r="K4" s="2"/>
      <c r="L4" s="2"/>
      <c r="M4" s="2"/>
      <c r="N4" s="2"/>
      <c r="O4" s="1"/>
      <c r="P4" s="1"/>
      <c r="Q4" s="1"/>
    </row>
    <row r="5" spans="1:17" ht="15" customHeight="1" x14ac:dyDescent="0.3">
      <c r="A5" s="128"/>
      <c r="B5" s="128"/>
      <c r="C5" s="8"/>
      <c r="D5" s="1"/>
      <c r="E5" s="1"/>
      <c r="F5" s="1"/>
      <c r="G5" s="1"/>
      <c r="H5" s="2"/>
      <c r="I5" s="2"/>
      <c r="J5" s="5"/>
      <c r="K5" s="2"/>
      <c r="L5" s="2"/>
      <c r="M5" s="2"/>
      <c r="N5" s="2"/>
      <c r="O5" s="1"/>
      <c r="P5" s="1"/>
      <c r="Q5" s="1"/>
    </row>
    <row r="6" spans="1:17" ht="15" customHeight="1" x14ac:dyDescent="0.3">
      <c r="A6" s="128"/>
      <c r="B6" s="128"/>
      <c r="C6" s="1"/>
      <c r="D6" s="1"/>
      <c r="E6" s="1"/>
      <c r="F6" s="1"/>
      <c r="G6" s="1"/>
      <c r="H6" s="2"/>
      <c r="I6" s="2"/>
      <c r="J6" s="2"/>
      <c r="K6" s="2"/>
      <c r="L6" s="2"/>
      <c r="M6" s="2"/>
      <c r="N6" s="2"/>
      <c r="O6" s="1"/>
      <c r="P6" s="1"/>
      <c r="Q6" s="1"/>
    </row>
    <row r="7" spans="1:17" ht="12.7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9"/>
    </row>
    <row r="8" spans="1:17" ht="15" customHeight="1" x14ac:dyDescent="0.3">
      <c r="A8" s="2"/>
      <c r="B8" s="2"/>
      <c r="C8" s="1"/>
      <c r="D8" s="1"/>
      <c r="E8" s="1"/>
      <c r="F8" s="1"/>
      <c r="G8" s="1"/>
      <c r="H8" s="2"/>
      <c r="I8" s="2"/>
      <c r="J8" s="2"/>
      <c r="K8" s="2"/>
      <c r="L8" s="2"/>
      <c r="M8" s="2"/>
      <c r="N8" s="2"/>
      <c r="O8" s="1"/>
      <c r="P8" s="1"/>
      <c r="Q8" s="9"/>
    </row>
    <row r="9" spans="1:17" ht="18.75" customHeight="1" x14ac:dyDescent="0.35">
      <c r="A9" s="129" t="s">
        <v>2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1"/>
      <c r="O9" s="10" t="s">
        <v>3</v>
      </c>
      <c r="P9" s="10" t="s">
        <v>4</v>
      </c>
      <c r="Q9" s="10" t="s">
        <v>5</v>
      </c>
    </row>
    <row r="10" spans="1:17" ht="15" customHeight="1" x14ac:dyDescent="0.3">
      <c r="A10" s="2"/>
      <c r="B10" s="2" t="s">
        <v>6</v>
      </c>
      <c r="C10" s="11" t="s">
        <v>7</v>
      </c>
      <c r="D10" s="11" t="s">
        <v>8</v>
      </c>
      <c r="E10" s="11" t="s">
        <v>9</v>
      </c>
      <c r="F10" s="11" t="s">
        <v>10</v>
      </c>
      <c r="G10" s="11" t="s">
        <v>11</v>
      </c>
      <c r="H10" s="11" t="s">
        <v>12</v>
      </c>
      <c r="I10" s="11" t="s">
        <v>13</v>
      </c>
      <c r="J10" s="11" t="s">
        <v>14</v>
      </c>
      <c r="K10" s="11" t="s">
        <v>15</v>
      </c>
      <c r="L10" s="11" t="s">
        <v>16</v>
      </c>
      <c r="M10" s="11" t="s">
        <v>17</v>
      </c>
      <c r="N10" s="12" t="s">
        <v>18</v>
      </c>
      <c r="O10" s="13"/>
      <c r="P10" s="13"/>
      <c r="Q10" s="14"/>
    </row>
    <row r="11" spans="1:17" ht="15.75" customHeight="1" x14ac:dyDescent="0.3">
      <c r="A11" s="15" t="s">
        <v>19</v>
      </c>
      <c r="B11" s="15"/>
      <c r="C11" s="16">
        <f t="shared" ref="C11:N11" si="0">+B40</f>
        <v>0</v>
      </c>
      <c r="D11" s="16">
        <f t="shared" si="0"/>
        <v>1602200</v>
      </c>
      <c r="E11" s="16">
        <f t="shared" si="0"/>
        <v>3204400</v>
      </c>
      <c r="F11" s="16">
        <f t="shared" si="0"/>
        <v>4806600</v>
      </c>
      <c r="G11" s="16">
        <f t="shared" si="0"/>
        <v>6408800</v>
      </c>
      <c r="H11" s="16">
        <f t="shared" si="0"/>
        <v>8011000</v>
      </c>
      <c r="I11" s="16">
        <f t="shared" si="0"/>
        <v>9613200</v>
      </c>
      <c r="J11" s="16">
        <f t="shared" si="0"/>
        <v>11215400</v>
      </c>
      <c r="K11" s="16">
        <f t="shared" si="0"/>
        <v>12817600</v>
      </c>
      <c r="L11" s="16">
        <f t="shared" si="0"/>
        <v>14419800</v>
      </c>
      <c r="M11" s="16">
        <f t="shared" si="0"/>
        <v>16022000</v>
      </c>
      <c r="N11" s="17">
        <f t="shared" si="0"/>
        <v>17624200</v>
      </c>
      <c r="O11" s="13"/>
      <c r="P11" s="13"/>
      <c r="Q11" s="18"/>
    </row>
    <row r="12" spans="1:17" ht="18.75" customHeight="1" x14ac:dyDescent="0.35">
      <c r="A12" s="19" t="s">
        <v>20</v>
      </c>
      <c r="B12" s="19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1"/>
      <c r="O12" s="13"/>
      <c r="P12" s="13"/>
      <c r="Q12" s="13"/>
    </row>
    <row r="13" spans="1:17" ht="15" customHeight="1" x14ac:dyDescent="0.3">
      <c r="A13" s="22" t="s">
        <v>21</v>
      </c>
      <c r="B13" s="22"/>
      <c r="C13" s="23">
        <f>'Proyeccion Ventas'!P5</f>
        <v>15200000</v>
      </c>
      <c r="D13" s="23">
        <f>'Proyeccion Ventas'!P6</f>
        <v>15200000</v>
      </c>
      <c r="E13" s="23">
        <f>'Proyeccion Ventas'!P7</f>
        <v>15200000</v>
      </c>
      <c r="F13" s="23">
        <f>'Proyeccion Ventas'!P8</f>
        <v>15200000</v>
      </c>
      <c r="G13" s="23">
        <f>'Proyeccion Ventas'!P9</f>
        <v>15200000</v>
      </c>
      <c r="H13" s="23">
        <f>'Proyeccion Ventas'!P10</f>
        <v>15200000</v>
      </c>
      <c r="I13" s="23">
        <f>'Proyeccion Ventas'!P11</f>
        <v>15200000</v>
      </c>
      <c r="J13" s="23">
        <f>'Proyeccion Ventas'!P12</f>
        <v>15200000</v>
      </c>
      <c r="K13" s="23">
        <f>'Proyeccion Ventas'!P13</f>
        <v>15200000</v>
      </c>
      <c r="L13" s="23">
        <f>'Proyeccion Ventas'!P14</f>
        <v>15200000</v>
      </c>
      <c r="M13" s="23">
        <f>'Proyeccion Ventas'!P15</f>
        <v>15200000</v>
      </c>
      <c r="N13" s="24">
        <f>'Proyeccion Ventas'!P16</f>
        <v>15200000</v>
      </c>
      <c r="O13" s="25">
        <f t="shared" ref="O13:O14" si="1">SUM(C13:N13)</f>
        <v>182400000</v>
      </c>
      <c r="P13" s="26">
        <f t="shared" ref="P13:Q13" si="2">O13*(1+$D$2/100)</f>
        <v>200640000.00000003</v>
      </c>
      <c r="Q13" s="26">
        <f t="shared" si="2"/>
        <v>220704000.00000006</v>
      </c>
    </row>
    <row r="14" spans="1:17" ht="15" customHeight="1" x14ac:dyDescent="0.3">
      <c r="A14" s="22"/>
      <c r="B14" s="22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1"/>
      <c r="O14" s="25">
        <f t="shared" si="1"/>
        <v>0</v>
      </c>
      <c r="P14" s="13">
        <f t="shared" ref="P14:Q14" si="3">O14*(1+$D$2/100)</f>
        <v>0</v>
      </c>
      <c r="Q14" s="13">
        <f t="shared" si="3"/>
        <v>0</v>
      </c>
    </row>
    <row r="15" spans="1:17" ht="15" customHeight="1" x14ac:dyDescent="0.3">
      <c r="A15" s="22"/>
      <c r="B15" s="22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1"/>
      <c r="O15" s="13"/>
      <c r="P15" s="13"/>
      <c r="Q15" s="13"/>
    </row>
    <row r="16" spans="1:17" ht="15" customHeight="1" x14ac:dyDescent="0.3">
      <c r="A16" s="22"/>
      <c r="B16" s="22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1"/>
      <c r="O16" s="13"/>
      <c r="P16" s="13"/>
      <c r="Q16" s="13"/>
    </row>
    <row r="17" spans="1:27" ht="18.75" customHeight="1" x14ac:dyDescent="0.35">
      <c r="A17" s="27" t="s">
        <v>22</v>
      </c>
      <c r="B17" s="27"/>
      <c r="C17" s="28">
        <f t="shared" ref="C17:N17" si="4">SUM(C13:C16)+C11</f>
        <v>15200000</v>
      </c>
      <c r="D17" s="28">
        <f t="shared" si="4"/>
        <v>16802200</v>
      </c>
      <c r="E17" s="28">
        <f t="shared" si="4"/>
        <v>18404400</v>
      </c>
      <c r="F17" s="28">
        <f t="shared" si="4"/>
        <v>20006600</v>
      </c>
      <c r="G17" s="28">
        <f t="shared" si="4"/>
        <v>21608800</v>
      </c>
      <c r="H17" s="28">
        <f t="shared" si="4"/>
        <v>23211000</v>
      </c>
      <c r="I17" s="28">
        <f t="shared" si="4"/>
        <v>24813200</v>
      </c>
      <c r="J17" s="28">
        <f t="shared" si="4"/>
        <v>26415400</v>
      </c>
      <c r="K17" s="28">
        <f t="shared" si="4"/>
        <v>28017600</v>
      </c>
      <c r="L17" s="28">
        <f t="shared" si="4"/>
        <v>29619800</v>
      </c>
      <c r="M17" s="28">
        <f t="shared" si="4"/>
        <v>31222000</v>
      </c>
      <c r="N17" s="29">
        <f t="shared" si="4"/>
        <v>32824200</v>
      </c>
      <c r="O17" s="25">
        <f t="shared" ref="O17:Q17" si="5">SUM(O13:O16)</f>
        <v>182400000</v>
      </c>
      <c r="P17" s="25">
        <f t="shared" si="5"/>
        <v>200640000.00000003</v>
      </c>
      <c r="Q17" s="25">
        <f t="shared" si="5"/>
        <v>220704000.00000006</v>
      </c>
    </row>
    <row r="18" spans="1:27" ht="15" customHeight="1" x14ac:dyDescent="0.3">
      <c r="A18" s="30"/>
      <c r="B18" s="2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3"/>
      <c r="P18" s="13"/>
      <c r="Q18" s="13"/>
    </row>
    <row r="19" spans="1:27" ht="18.75" customHeight="1" x14ac:dyDescent="0.35">
      <c r="A19" s="129" t="s">
        <v>23</v>
      </c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1"/>
      <c r="O19" s="13"/>
      <c r="P19" s="13"/>
      <c r="Q19" s="13"/>
    </row>
    <row r="20" spans="1:27" ht="15.75" customHeight="1" x14ac:dyDescent="0.3">
      <c r="A20" s="31"/>
      <c r="B20" s="31"/>
      <c r="C20" s="11" t="s">
        <v>7</v>
      </c>
      <c r="D20" s="11" t="s">
        <v>8</v>
      </c>
      <c r="E20" s="11" t="s">
        <v>9</v>
      </c>
      <c r="F20" s="11" t="s">
        <v>10</v>
      </c>
      <c r="G20" s="11" t="s">
        <v>11</v>
      </c>
      <c r="H20" s="11" t="s">
        <v>12</v>
      </c>
      <c r="I20" s="11" t="s">
        <v>13</v>
      </c>
      <c r="J20" s="11" t="s">
        <v>14</v>
      </c>
      <c r="K20" s="11" t="s">
        <v>15</v>
      </c>
      <c r="L20" s="11" t="s">
        <v>16</v>
      </c>
      <c r="M20" s="11" t="s">
        <v>17</v>
      </c>
      <c r="N20" s="12" t="s">
        <v>18</v>
      </c>
      <c r="O20" s="13"/>
      <c r="P20" s="13"/>
      <c r="Q20" s="13"/>
    </row>
    <row r="21" spans="1:27" ht="15.75" customHeight="1" x14ac:dyDescent="0.3">
      <c r="A21" s="31"/>
      <c r="B21" s="3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2"/>
      <c r="O21" s="13"/>
      <c r="P21" s="13"/>
      <c r="Q21" s="13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ht="15" customHeight="1" x14ac:dyDescent="0.3">
      <c r="A22" s="22" t="s">
        <v>24</v>
      </c>
      <c r="B22" s="22"/>
      <c r="C22" s="23">
        <f>'Costos Unitarios de producción'!H4</f>
        <v>2397800</v>
      </c>
      <c r="D22" s="23">
        <f>'Costos Unitarios de producción'!H5</f>
        <v>2397800</v>
      </c>
      <c r="E22" s="23">
        <f>'Costos Unitarios de producción'!H6</f>
        <v>2397800</v>
      </c>
      <c r="F22" s="23">
        <f>'Costos Unitarios de producción'!H7</f>
        <v>2397800</v>
      </c>
      <c r="G22" s="23">
        <f>'Costos Unitarios de producción'!H8</f>
        <v>2397800</v>
      </c>
      <c r="H22" s="23">
        <f>'Costos Unitarios de producción'!H9</f>
        <v>2397800</v>
      </c>
      <c r="I22" s="23">
        <f>'Costos Unitarios de producción'!H10</f>
        <v>2397800</v>
      </c>
      <c r="J22" s="23">
        <f>'Costos Unitarios de producción'!H11</f>
        <v>2397800</v>
      </c>
      <c r="K22" s="23">
        <f>'Costos Unitarios de producción'!H12</f>
        <v>2397800</v>
      </c>
      <c r="L22" s="23">
        <f>'Costos Unitarios de producción'!H13</f>
        <v>2397800</v>
      </c>
      <c r="M22" s="23">
        <f>'Costos Unitarios de producción'!H14</f>
        <v>2397800</v>
      </c>
      <c r="N22" s="24">
        <f>'Costos Unitarios de producción'!H15</f>
        <v>2397800</v>
      </c>
      <c r="O22" s="25">
        <f t="shared" ref="O22:O23" si="6">SUM(C22:N22)</f>
        <v>28773600</v>
      </c>
      <c r="P22" s="32">
        <f t="shared" ref="P22:Q22" si="7">O22*(1+$D$3/100)</f>
        <v>31075488.000000004</v>
      </c>
      <c r="Q22" s="32">
        <f t="shared" si="7"/>
        <v>33561527.040000007</v>
      </c>
    </row>
    <row r="23" spans="1:27" ht="15" customHeight="1" x14ac:dyDescent="0.3">
      <c r="A23" s="22"/>
      <c r="B23" s="22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1"/>
      <c r="O23" s="25">
        <f t="shared" si="6"/>
        <v>0</v>
      </c>
      <c r="P23" s="13">
        <f t="shared" ref="P23:Q23" si="8">O23*(1+$D$3/100)</f>
        <v>0</v>
      </c>
      <c r="Q23" s="13">
        <f t="shared" si="8"/>
        <v>0</v>
      </c>
    </row>
    <row r="24" spans="1:27" ht="15" customHeight="1" x14ac:dyDescent="0.3"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1"/>
      <c r="O24" s="25"/>
      <c r="P24" s="13"/>
      <c r="Q24" s="13"/>
    </row>
    <row r="25" spans="1:27" ht="15" customHeight="1" x14ac:dyDescent="0.3">
      <c r="A25" s="22"/>
      <c r="B25" s="22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1"/>
      <c r="O25" s="25"/>
      <c r="P25" s="13"/>
      <c r="Q25" s="13"/>
    </row>
    <row r="26" spans="1:27" ht="15" customHeight="1" x14ac:dyDescent="0.3">
      <c r="A26" s="33" t="s">
        <v>25</v>
      </c>
      <c r="B26" s="33"/>
      <c r="C26" s="23">
        <f>'Costos Indirectos Fabricacion'!B20</f>
        <v>0</v>
      </c>
      <c r="D26" s="23">
        <f t="shared" ref="D26:N26" si="9">C26</f>
        <v>0</v>
      </c>
      <c r="E26" s="23">
        <f t="shared" si="9"/>
        <v>0</v>
      </c>
      <c r="F26" s="23">
        <f t="shared" si="9"/>
        <v>0</v>
      </c>
      <c r="G26" s="23">
        <f t="shared" si="9"/>
        <v>0</v>
      </c>
      <c r="H26" s="23">
        <f t="shared" si="9"/>
        <v>0</v>
      </c>
      <c r="I26" s="23">
        <f t="shared" si="9"/>
        <v>0</v>
      </c>
      <c r="J26" s="23">
        <f t="shared" si="9"/>
        <v>0</v>
      </c>
      <c r="K26" s="23">
        <f t="shared" si="9"/>
        <v>0</v>
      </c>
      <c r="L26" s="23">
        <f t="shared" si="9"/>
        <v>0</v>
      </c>
      <c r="M26" s="23">
        <f t="shared" si="9"/>
        <v>0</v>
      </c>
      <c r="N26" s="24">
        <f t="shared" si="9"/>
        <v>0</v>
      </c>
      <c r="O26" s="25">
        <f>SUM(C26:N26)</f>
        <v>0</v>
      </c>
      <c r="P26" s="13">
        <f t="shared" ref="P26:Q26" si="10">O26*(1+$D$3/100)</f>
        <v>0</v>
      </c>
      <c r="Q26" s="13">
        <f t="shared" si="10"/>
        <v>0</v>
      </c>
    </row>
    <row r="27" spans="1:27" ht="15" customHeight="1" x14ac:dyDescent="0.3">
      <c r="A27" s="22"/>
      <c r="B27" s="22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1"/>
      <c r="O27" s="25"/>
      <c r="P27" s="13"/>
      <c r="Q27" s="13"/>
    </row>
    <row r="28" spans="1:27" ht="15" customHeight="1" x14ac:dyDescent="0.3">
      <c r="A28" s="22" t="s">
        <v>26</v>
      </c>
      <c r="B28" s="22"/>
      <c r="C28" s="23">
        <f>'Ppto gastos fijos'!B24</f>
        <v>10700000</v>
      </c>
      <c r="D28" s="23">
        <f t="shared" ref="D28:N28" si="11">C28</f>
        <v>10700000</v>
      </c>
      <c r="E28" s="23">
        <f t="shared" si="11"/>
        <v>10700000</v>
      </c>
      <c r="F28" s="23">
        <f t="shared" si="11"/>
        <v>10700000</v>
      </c>
      <c r="G28" s="23">
        <f t="shared" si="11"/>
        <v>10700000</v>
      </c>
      <c r="H28" s="23">
        <f t="shared" si="11"/>
        <v>10700000</v>
      </c>
      <c r="I28" s="23">
        <f t="shared" si="11"/>
        <v>10700000</v>
      </c>
      <c r="J28" s="23">
        <f t="shared" si="11"/>
        <v>10700000</v>
      </c>
      <c r="K28" s="23">
        <f t="shared" si="11"/>
        <v>10700000</v>
      </c>
      <c r="L28" s="23">
        <f t="shared" si="11"/>
        <v>10700000</v>
      </c>
      <c r="M28" s="23">
        <f t="shared" si="11"/>
        <v>10700000</v>
      </c>
      <c r="N28" s="24">
        <f t="shared" si="11"/>
        <v>10700000</v>
      </c>
      <c r="O28" s="25">
        <f>SUM(C28:N28)</f>
        <v>128400000</v>
      </c>
      <c r="P28" s="13">
        <f t="shared" ref="P28:Q28" si="12">O28*(1+$D$3/100)</f>
        <v>138672000</v>
      </c>
      <c r="Q28" s="13">
        <f t="shared" si="12"/>
        <v>149765760</v>
      </c>
    </row>
    <row r="29" spans="1:27" ht="15" customHeight="1" x14ac:dyDescent="0.3">
      <c r="A29" s="34"/>
      <c r="B29" s="34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1"/>
      <c r="O29" s="25"/>
      <c r="P29" s="13"/>
      <c r="Q29" s="13"/>
    </row>
    <row r="30" spans="1:27" ht="15" customHeight="1" x14ac:dyDescent="0.3">
      <c r="A30" s="22" t="s">
        <v>27</v>
      </c>
      <c r="B30" s="22"/>
      <c r="C30" s="23">
        <f>'Ppto gastos variables'!B21</f>
        <v>500000</v>
      </c>
      <c r="D30" s="23">
        <f t="shared" ref="D30:N30" si="13">C30</f>
        <v>500000</v>
      </c>
      <c r="E30" s="23">
        <f t="shared" si="13"/>
        <v>500000</v>
      </c>
      <c r="F30" s="23">
        <f t="shared" si="13"/>
        <v>500000</v>
      </c>
      <c r="G30" s="23">
        <f t="shared" si="13"/>
        <v>500000</v>
      </c>
      <c r="H30" s="23">
        <f t="shared" si="13"/>
        <v>500000</v>
      </c>
      <c r="I30" s="23">
        <f t="shared" si="13"/>
        <v>500000</v>
      </c>
      <c r="J30" s="23">
        <f t="shared" si="13"/>
        <v>500000</v>
      </c>
      <c r="K30" s="23">
        <f t="shared" si="13"/>
        <v>500000</v>
      </c>
      <c r="L30" s="23">
        <f t="shared" si="13"/>
        <v>500000</v>
      </c>
      <c r="M30" s="23">
        <f t="shared" si="13"/>
        <v>500000</v>
      </c>
      <c r="N30" s="24">
        <f t="shared" si="13"/>
        <v>500000</v>
      </c>
      <c r="O30" s="25">
        <f>SUM(C30:N30)</f>
        <v>6000000</v>
      </c>
      <c r="P30" s="13">
        <f t="shared" ref="P30:Q30" si="14">O30*(1+$D$3/100)</f>
        <v>6480000</v>
      </c>
      <c r="Q30" s="13">
        <f t="shared" si="14"/>
        <v>6998400</v>
      </c>
    </row>
    <row r="31" spans="1:27" ht="15" customHeight="1" x14ac:dyDescent="0.3">
      <c r="A31" s="22"/>
      <c r="B31" s="22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1"/>
      <c r="O31" s="13"/>
      <c r="P31" s="13"/>
      <c r="Q31" s="13"/>
    </row>
    <row r="32" spans="1:27" ht="15" customHeight="1" x14ac:dyDescent="0.3">
      <c r="A32" s="22"/>
      <c r="B32" s="22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1"/>
      <c r="O32" s="13"/>
      <c r="P32" s="13"/>
      <c r="Q32" s="13"/>
    </row>
    <row r="33" spans="1:18" ht="15" customHeight="1" x14ac:dyDescent="0.3">
      <c r="A33" s="22" t="s">
        <v>28</v>
      </c>
      <c r="B33" s="23">
        <f>Infraestructura!D85</f>
        <v>16790000</v>
      </c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1"/>
      <c r="O33" s="25"/>
      <c r="P33" s="13"/>
      <c r="Q33" s="13"/>
    </row>
    <row r="34" spans="1:18" ht="15" customHeight="1" x14ac:dyDescent="0.3">
      <c r="A34" s="22"/>
      <c r="B34" s="22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1"/>
      <c r="O34" s="25"/>
      <c r="P34" s="13"/>
      <c r="Q34" s="13"/>
    </row>
    <row r="35" spans="1:18" ht="15" customHeight="1" x14ac:dyDescent="0.3">
      <c r="A35" s="22" t="s">
        <v>29</v>
      </c>
      <c r="B35" s="23">
        <f>Infraestructura!D96</f>
        <v>21730000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1"/>
      <c r="O35" s="25"/>
      <c r="P35" s="13"/>
      <c r="Q35" s="13"/>
    </row>
    <row r="36" spans="1:18" ht="15" customHeight="1" x14ac:dyDescent="0.3">
      <c r="A36" s="22"/>
      <c r="B36" s="22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1"/>
      <c r="O36" s="13"/>
      <c r="P36" s="13"/>
      <c r="Q36" s="13"/>
    </row>
    <row r="37" spans="1:18" ht="15" customHeight="1" x14ac:dyDescent="0.3">
      <c r="A37" s="33"/>
      <c r="B37" s="33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1"/>
      <c r="O37" s="13"/>
      <c r="P37" s="13"/>
      <c r="Q37" s="13"/>
    </row>
    <row r="38" spans="1:18" ht="15" customHeight="1" x14ac:dyDescent="0.3">
      <c r="A38" s="22"/>
      <c r="B38" s="22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1"/>
      <c r="O38" s="13"/>
      <c r="P38" s="13"/>
      <c r="Q38" s="13"/>
    </row>
    <row r="39" spans="1:18" ht="18.75" customHeight="1" x14ac:dyDescent="0.35">
      <c r="A39" s="27" t="s">
        <v>30</v>
      </c>
      <c r="B39" s="35">
        <f>B33+B35</f>
        <v>38520000</v>
      </c>
      <c r="C39" s="36">
        <f t="shared" ref="C39:N39" si="15">SUM(C21:C38)</f>
        <v>13597800</v>
      </c>
      <c r="D39" s="36">
        <f t="shared" si="15"/>
        <v>13597800</v>
      </c>
      <c r="E39" s="36">
        <f t="shared" si="15"/>
        <v>13597800</v>
      </c>
      <c r="F39" s="36">
        <f t="shared" si="15"/>
        <v>13597800</v>
      </c>
      <c r="G39" s="36">
        <f t="shared" si="15"/>
        <v>13597800</v>
      </c>
      <c r="H39" s="36">
        <f t="shared" si="15"/>
        <v>13597800</v>
      </c>
      <c r="I39" s="36">
        <f t="shared" si="15"/>
        <v>13597800</v>
      </c>
      <c r="J39" s="36">
        <f t="shared" si="15"/>
        <v>13597800</v>
      </c>
      <c r="K39" s="36">
        <f t="shared" si="15"/>
        <v>13597800</v>
      </c>
      <c r="L39" s="36">
        <f t="shared" si="15"/>
        <v>13597800</v>
      </c>
      <c r="M39" s="36">
        <f t="shared" si="15"/>
        <v>13597800</v>
      </c>
      <c r="N39" s="36">
        <f t="shared" si="15"/>
        <v>13597800</v>
      </c>
      <c r="O39" s="25">
        <f>SUM(O22:O38)</f>
        <v>163173600</v>
      </c>
      <c r="P39" s="25">
        <f t="shared" ref="P39:Q39" si="16">SUM(P22:P30)</f>
        <v>176227488</v>
      </c>
      <c r="Q39" s="25">
        <f t="shared" si="16"/>
        <v>190325687.04000002</v>
      </c>
    </row>
    <row r="40" spans="1:18" ht="15" customHeight="1" x14ac:dyDescent="0.3">
      <c r="A40" s="37" t="s">
        <v>31</v>
      </c>
      <c r="B40" s="37"/>
      <c r="C40" s="38">
        <f t="shared" ref="C40:N40" si="17">+C17-C39</f>
        <v>1602200</v>
      </c>
      <c r="D40" s="38">
        <f t="shared" si="17"/>
        <v>3204400</v>
      </c>
      <c r="E40" s="38">
        <f t="shared" si="17"/>
        <v>4806600</v>
      </c>
      <c r="F40" s="38">
        <f t="shared" si="17"/>
        <v>6408800</v>
      </c>
      <c r="G40" s="38">
        <f t="shared" si="17"/>
        <v>8011000</v>
      </c>
      <c r="H40" s="38">
        <f t="shared" si="17"/>
        <v>9613200</v>
      </c>
      <c r="I40" s="38">
        <f t="shared" si="17"/>
        <v>11215400</v>
      </c>
      <c r="J40" s="38">
        <f t="shared" si="17"/>
        <v>12817600</v>
      </c>
      <c r="K40" s="38">
        <f t="shared" si="17"/>
        <v>14419800</v>
      </c>
      <c r="L40" s="38">
        <f t="shared" si="17"/>
        <v>16022000</v>
      </c>
      <c r="M40" s="38">
        <f t="shared" si="17"/>
        <v>17624200</v>
      </c>
      <c r="N40" s="39">
        <f t="shared" si="17"/>
        <v>19226400</v>
      </c>
      <c r="O40" s="25"/>
      <c r="P40" s="13"/>
      <c r="Q40" s="13"/>
    </row>
    <row r="41" spans="1:18" ht="15" customHeight="1" x14ac:dyDescent="0.3">
      <c r="A41" s="2"/>
      <c r="B41" s="2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1"/>
      <c r="P41" s="1"/>
      <c r="Q41" s="1"/>
    </row>
    <row r="42" spans="1:18" ht="15" customHeight="1" x14ac:dyDescent="0.3">
      <c r="A42" s="2" t="s">
        <v>32</v>
      </c>
      <c r="B42" s="5">
        <f t="shared" ref="B42:O42" si="18">B17-B39</f>
        <v>-38520000</v>
      </c>
      <c r="C42" s="5">
        <f t="shared" si="18"/>
        <v>1602200</v>
      </c>
      <c r="D42" s="5">
        <f t="shared" si="18"/>
        <v>3204400</v>
      </c>
      <c r="E42" s="5">
        <f t="shared" si="18"/>
        <v>4806600</v>
      </c>
      <c r="F42" s="5">
        <f t="shared" si="18"/>
        <v>6408800</v>
      </c>
      <c r="G42" s="5">
        <f t="shared" si="18"/>
        <v>8011000</v>
      </c>
      <c r="H42" s="5">
        <f t="shared" si="18"/>
        <v>9613200</v>
      </c>
      <c r="I42" s="5">
        <f t="shared" si="18"/>
        <v>11215400</v>
      </c>
      <c r="J42" s="5">
        <f t="shared" si="18"/>
        <v>12817600</v>
      </c>
      <c r="K42" s="5">
        <f t="shared" si="18"/>
        <v>14419800</v>
      </c>
      <c r="L42" s="5">
        <f t="shared" si="18"/>
        <v>16022000</v>
      </c>
      <c r="M42" s="5">
        <f t="shared" si="18"/>
        <v>17624200</v>
      </c>
      <c r="N42" s="5">
        <f t="shared" si="18"/>
        <v>19226400</v>
      </c>
      <c r="O42" s="6">
        <f t="shared" si="18"/>
        <v>19226400</v>
      </c>
      <c r="P42" s="1"/>
      <c r="Q42" s="1"/>
    </row>
    <row r="43" spans="1:18" ht="18.75" customHeight="1" x14ac:dyDescent="0.25">
      <c r="A43" s="40" t="s">
        <v>33</v>
      </c>
      <c r="B43" s="41">
        <v>0</v>
      </c>
      <c r="C43" s="1"/>
      <c r="D43" s="1"/>
      <c r="E43" s="1"/>
      <c r="F43" s="1"/>
      <c r="G43" s="1"/>
      <c r="H43" s="1"/>
      <c r="I43" s="1"/>
      <c r="J43" s="1"/>
      <c r="K43" s="1"/>
      <c r="L43" s="42" t="s">
        <v>34</v>
      </c>
      <c r="M43" s="43">
        <f>IRR(N43:Q43)</f>
        <v>0.47506881598693096</v>
      </c>
      <c r="N43" s="44">
        <f>-B39</f>
        <v>-38520000</v>
      </c>
      <c r="O43" s="45">
        <f t="shared" ref="O43:P43" si="19">O17-O39</f>
        <v>19226400</v>
      </c>
      <c r="P43" s="45">
        <f t="shared" si="19"/>
        <v>24412512.00000003</v>
      </c>
      <c r="Q43" s="45">
        <f>Q17-Q39+(B39/5*2)</f>
        <v>45786312.960000038</v>
      </c>
      <c r="R43" s="6"/>
    </row>
    <row r="44" spans="1:18" ht="15" customHeight="1" x14ac:dyDescent="0.3">
      <c r="A44" s="46"/>
      <c r="B44" s="46"/>
      <c r="C44" s="47"/>
      <c r="D44" s="47"/>
      <c r="E44" s="47"/>
      <c r="F44" s="47"/>
      <c r="G44" s="47"/>
      <c r="H44" s="47"/>
      <c r="I44" s="47"/>
      <c r="J44" s="47"/>
      <c r="K44" s="47"/>
      <c r="L44" s="48" t="s">
        <v>35</v>
      </c>
      <c r="M44" s="48">
        <f t="array" ref="M44">NPV(0.1,N43:Q43)</f>
        <v>30485554.374701217</v>
      </c>
      <c r="N44" s="48"/>
      <c r="O44" s="49"/>
      <c r="P44" s="49"/>
      <c r="Q44" s="49"/>
    </row>
    <row r="45" spans="1:18" ht="15.75" customHeight="1" x14ac:dyDescent="0.3">
      <c r="A45" s="50" t="s">
        <v>36</v>
      </c>
      <c r="B45" s="50">
        <v>0</v>
      </c>
      <c r="C45" s="47">
        <f t="shared" ref="C45:K45" si="20">B46</f>
        <v>-38520000</v>
      </c>
      <c r="D45" s="47">
        <f t="shared" si="20"/>
        <v>-36917800</v>
      </c>
      <c r="E45" s="47">
        <f t="shared" si="20"/>
        <v>-33713400</v>
      </c>
      <c r="F45" s="47">
        <f t="shared" si="20"/>
        <v>-28906800</v>
      </c>
      <c r="G45" s="47">
        <f t="shared" si="20"/>
        <v>-22498000</v>
      </c>
      <c r="H45" s="47">
        <f t="shared" si="20"/>
        <v>-14487000</v>
      </c>
      <c r="I45" s="47">
        <f t="shared" si="20"/>
        <v>-4873800</v>
      </c>
      <c r="J45" s="47">
        <f t="shared" si="20"/>
        <v>6341600</v>
      </c>
      <c r="K45" s="47">
        <f t="shared" si="20"/>
        <v>19159200</v>
      </c>
      <c r="L45" s="51"/>
      <c r="M45" s="51"/>
      <c r="N45" s="51"/>
      <c r="O45" s="1"/>
      <c r="P45" s="1"/>
      <c r="Q45" s="1"/>
    </row>
    <row r="46" spans="1:18" ht="18.75" customHeight="1" x14ac:dyDescent="0.35">
      <c r="A46" s="52" t="s">
        <v>37</v>
      </c>
      <c r="B46" s="53">
        <f>B17-B39+B43</f>
        <v>-38520000</v>
      </c>
      <c r="C46" s="54">
        <f t="shared" ref="C46:K46" si="21">C45+C17-C39</f>
        <v>-36917800</v>
      </c>
      <c r="D46" s="54">
        <f t="shared" si="21"/>
        <v>-33713400</v>
      </c>
      <c r="E46" s="54">
        <f t="shared" si="21"/>
        <v>-28906800</v>
      </c>
      <c r="F46" s="54">
        <f t="shared" si="21"/>
        <v>-22498000</v>
      </c>
      <c r="G46" s="54">
        <f t="shared" si="21"/>
        <v>-14487000</v>
      </c>
      <c r="H46" s="54">
        <f t="shared" si="21"/>
        <v>-4873800</v>
      </c>
      <c r="I46" s="54">
        <f t="shared" si="21"/>
        <v>6341600</v>
      </c>
      <c r="J46" s="54">
        <f t="shared" si="21"/>
        <v>19159200</v>
      </c>
      <c r="K46" s="54">
        <f t="shared" si="21"/>
        <v>33579000</v>
      </c>
      <c r="L46" s="54" t="s">
        <v>38</v>
      </c>
      <c r="M46" s="54"/>
      <c r="N46" s="54"/>
      <c r="O46" s="1"/>
      <c r="P46" s="1"/>
      <c r="Q46" s="1"/>
    </row>
    <row r="47" spans="1:18" ht="15" customHeight="1" x14ac:dyDescent="0.3">
      <c r="A47" s="46"/>
      <c r="B47" s="46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1"/>
      <c r="P47" s="1"/>
      <c r="Q47" s="1"/>
    </row>
    <row r="48" spans="1:18" ht="15" customHeight="1" x14ac:dyDescent="0.3">
      <c r="A48" s="46"/>
      <c r="B48" s="46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1"/>
      <c r="P48" s="1"/>
      <c r="Q48" s="1"/>
    </row>
    <row r="49" spans="1:17" ht="15" customHeight="1" x14ac:dyDescent="0.3">
      <c r="A49" s="46"/>
      <c r="B49" s="46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1"/>
      <c r="P49" s="1"/>
      <c r="Q49" s="1"/>
    </row>
    <row r="50" spans="1:17" ht="15" customHeight="1" x14ac:dyDescent="0.3">
      <c r="A50" s="46"/>
      <c r="B50" s="46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1"/>
      <c r="P50" s="1"/>
      <c r="Q50" s="1"/>
    </row>
    <row r="51" spans="1:17" ht="18.75" customHeight="1" x14ac:dyDescent="0.35">
      <c r="A51" s="52"/>
      <c r="B51" s="52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1"/>
      <c r="P51" s="1"/>
      <c r="Q51" s="1"/>
    </row>
    <row r="52" spans="1:17" ht="15" customHeight="1" x14ac:dyDescent="0.3">
      <c r="A52" s="46"/>
      <c r="B52" s="46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1"/>
      <c r="P52" s="1"/>
      <c r="Q52" s="1"/>
    </row>
    <row r="53" spans="1:17" ht="12.75" customHeight="1" x14ac:dyDescent="0.25"/>
    <row r="54" spans="1:17" ht="12.75" customHeight="1" x14ac:dyDescent="0.25"/>
    <row r="55" spans="1:17" ht="12.75" customHeight="1" x14ac:dyDescent="0.25"/>
    <row r="56" spans="1:17" ht="12.75" customHeight="1" x14ac:dyDescent="0.25"/>
    <row r="57" spans="1:17" ht="12.75" customHeight="1" x14ac:dyDescent="0.25"/>
    <row r="58" spans="1:17" ht="12.75" customHeight="1" x14ac:dyDescent="0.25"/>
    <row r="59" spans="1:17" ht="12.75" customHeight="1" x14ac:dyDescent="0.25"/>
    <row r="60" spans="1:17" ht="12.75" customHeight="1" x14ac:dyDescent="0.25"/>
    <row r="61" spans="1:17" ht="12.75" customHeight="1" x14ac:dyDescent="0.25"/>
    <row r="62" spans="1:17" ht="12.75" customHeight="1" x14ac:dyDescent="0.25"/>
    <row r="63" spans="1:17" ht="12.75" customHeight="1" x14ac:dyDescent="0.25"/>
    <row r="64" spans="1:17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B6"/>
    <mergeCell ref="A9:N9"/>
    <mergeCell ref="A19:N19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117" zoomScaleNormal="117" workbookViewId="0">
      <pane ySplit="3" topLeftCell="A4" activePane="bottomLeft" state="frozen"/>
      <selection pane="bottomLeft" activeCell="B5" sqref="B5:B16"/>
    </sheetView>
  </sheetViews>
  <sheetFormatPr baseColWidth="10" defaultColWidth="12.6640625" defaultRowHeight="15" customHeight="1" x14ac:dyDescent="0.25"/>
  <cols>
    <col min="1" max="1" width="11.44140625" customWidth="1"/>
    <col min="2" max="2" width="22.88671875" customWidth="1"/>
    <col min="3" max="3" width="22.109375" customWidth="1"/>
    <col min="4" max="4" width="16.33203125" customWidth="1"/>
    <col min="5" max="8" width="11.44140625" customWidth="1"/>
    <col min="9" max="9" width="19.33203125" customWidth="1"/>
    <col min="10" max="10" width="17.44140625" customWidth="1"/>
    <col min="11" max="11" width="13.44140625" customWidth="1"/>
    <col min="12" max="15" width="11.44140625" customWidth="1"/>
    <col min="16" max="16" width="19.44140625" customWidth="1"/>
    <col min="17" max="17" width="17.33203125" customWidth="1"/>
    <col min="18" max="18" width="15.88671875" customWidth="1"/>
    <col min="19" max="19" width="15.44140625" customWidth="1"/>
    <col min="20" max="20" width="14.44140625" customWidth="1"/>
    <col min="21" max="26" width="10" customWidth="1"/>
  </cols>
  <sheetData>
    <row r="1" spans="1:26" ht="15.75" customHeight="1" x14ac:dyDescent="0.3">
      <c r="A1" s="56" t="s">
        <v>39</v>
      </c>
      <c r="B1" s="57"/>
      <c r="C1" s="58"/>
      <c r="D1" s="57"/>
      <c r="E1" s="57"/>
      <c r="F1" s="57"/>
      <c r="G1" s="58"/>
      <c r="H1" s="56" t="s">
        <v>40</v>
      </c>
      <c r="I1" s="58"/>
      <c r="J1" s="58"/>
      <c r="K1" s="58"/>
      <c r="L1" s="58"/>
      <c r="M1" s="58"/>
      <c r="N1" s="58"/>
      <c r="O1" s="56" t="s">
        <v>41</v>
      </c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spans="1:26" x14ac:dyDescent="0.25">
      <c r="A2" s="58"/>
      <c r="B2" s="57"/>
      <c r="C2" s="58"/>
      <c r="D2" s="57"/>
      <c r="E2" s="57"/>
      <c r="F2" s="57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ht="59.25" customHeight="1" x14ac:dyDescent="0.25">
      <c r="A3" s="59"/>
      <c r="B3" s="60" t="s">
        <v>42</v>
      </c>
      <c r="C3" s="60" t="s">
        <v>43</v>
      </c>
      <c r="D3" s="60" t="s">
        <v>44</v>
      </c>
      <c r="E3" s="60" t="s">
        <v>45</v>
      </c>
      <c r="F3" s="60" t="s">
        <v>46</v>
      </c>
      <c r="G3" s="58"/>
      <c r="H3" s="59"/>
      <c r="I3" s="60" t="str">
        <f t="shared" ref="I3:M3" si="0">+B3</f>
        <v>Producto 1</v>
      </c>
      <c r="J3" s="60" t="str">
        <f t="shared" si="0"/>
        <v>producto 2</v>
      </c>
      <c r="K3" s="60" t="str">
        <f t="shared" si="0"/>
        <v>Producto 3</v>
      </c>
      <c r="L3" s="60" t="str">
        <f t="shared" si="0"/>
        <v>Producto 4</v>
      </c>
      <c r="M3" s="60" t="str">
        <f t="shared" si="0"/>
        <v>Producto 5</v>
      </c>
      <c r="N3" s="58"/>
      <c r="O3" s="59"/>
      <c r="P3" s="60" t="str">
        <f t="shared" ref="P3:T3" si="1">+I3</f>
        <v>Producto 1</v>
      </c>
      <c r="Q3" s="60" t="str">
        <f t="shared" si="1"/>
        <v>producto 2</v>
      </c>
      <c r="R3" s="60" t="str">
        <f t="shared" si="1"/>
        <v>Producto 3</v>
      </c>
      <c r="S3" s="60" t="str">
        <f t="shared" si="1"/>
        <v>Producto 4</v>
      </c>
      <c r="T3" s="60" t="str">
        <f t="shared" si="1"/>
        <v>Producto 5</v>
      </c>
      <c r="U3" s="58"/>
      <c r="V3" s="58"/>
      <c r="W3" s="58"/>
      <c r="X3" s="58"/>
      <c r="Y3" s="58"/>
      <c r="Z3" s="58"/>
    </row>
    <row r="4" spans="1:26" ht="15.75" customHeight="1" x14ac:dyDescent="0.3">
      <c r="A4" s="61" t="s">
        <v>47</v>
      </c>
      <c r="B4" s="62"/>
      <c r="C4" s="63"/>
      <c r="D4" s="62"/>
      <c r="E4" s="62"/>
      <c r="F4" s="62"/>
      <c r="G4" s="58"/>
      <c r="H4" s="61" t="s">
        <v>47</v>
      </c>
      <c r="I4" s="63"/>
      <c r="J4" s="63"/>
      <c r="K4" s="63"/>
      <c r="L4" s="63"/>
      <c r="M4" s="63"/>
      <c r="N4" s="58"/>
      <c r="O4" s="61" t="s">
        <v>47</v>
      </c>
      <c r="P4" s="63"/>
      <c r="Q4" s="63"/>
      <c r="R4" s="63"/>
      <c r="S4" s="63"/>
      <c r="T4" s="63"/>
      <c r="U4" s="58"/>
      <c r="V4" s="58"/>
      <c r="W4" s="58"/>
      <c r="X4" s="58"/>
      <c r="Y4" s="58"/>
      <c r="Z4" s="58"/>
    </row>
    <row r="5" spans="1:26" x14ac:dyDescent="0.25">
      <c r="A5" s="63" t="s">
        <v>7</v>
      </c>
      <c r="B5" s="64">
        <v>380</v>
      </c>
      <c r="C5" s="65">
        <v>3</v>
      </c>
      <c r="D5" s="66">
        <v>2</v>
      </c>
      <c r="E5" s="66"/>
      <c r="F5" s="66"/>
      <c r="G5" s="58"/>
      <c r="H5" s="63" t="s">
        <v>7</v>
      </c>
      <c r="I5" s="67">
        <v>40000</v>
      </c>
      <c r="J5" s="65">
        <v>70000</v>
      </c>
      <c r="K5" s="68">
        <v>100000</v>
      </c>
      <c r="L5" s="68"/>
      <c r="M5" s="68"/>
      <c r="N5" s="58"/>
      <c r="O5" s="63" t="s">
        <v>7</v>
      </c>
      <c r="P5" s="69">
        <f>+I5*B5</f>
        <v>15200000</v>
      </c>
      <c r="Q5" s="69">
        <f>+J5*C5</f>
        <v>210000</v>
      </c>
      <c r="R5" s="68">
        <f t="shared" ref="R5:T5" si="2">+K5*D5</f>
        <v>200000</v>
      </c>
      <c r="S5" s="68">
        <f t="shared" si="2"/>
        <v>0</v>
      </c>
      <c r="T5" s="68">
        <f t="shared" si="2"/>
        <v>0</v>
      </c>
      <c r="U5" s="58"/>
      <c r="V5" s="58"/>
      <c r="W5" s="58"/>
      <c r="X5" s="58"/>
      <c r="Y5" s="58"/>
      <c r="Z5" s="58"/>
    </row>
    <row r="6" spans="1:26" x14ac:dyDescent="0.25">
      <c r="A6" s="63" t="s">
        <v>8</v>
      </c>
      <c r="B6" s="64">
        <v>380</v>
      </c>
      <c r="C6" s="65">
        <v>3</v>
      </c>
      <c r="D6" s="66">
        <v>2</v>
      </c>
      <c r="E6" s="66"/>
      <c r="F6" s="66"/>
      <c r="G6" s="58"/>
      <c r="H6" s="63" t="s">
        <v>8</v>
      </c>
      <c r="I6" s="67">
        <v>40000</v>
      </c>
      <c r="J6" s="65">
        <v>70000</v>
      </c>
      <c r="K6" s="68">
        <v>100000</v>
      </c>
      <c r="L6" s="68"/>
      <c r="M6" s="68"/>
      <c r="N6" s="58"/>
      <c r="O6" s="63" t="s">
        <v>8</v>
      </c>
      <c r="P6" s="69">
        <f t="shared" ref="P6:T6" si="3">+I6*B6</f>
        <v>15200000</v>
      </c>
      <c r="Q6" s="69">
        <f t="shared" si="3"/>
        <v>210000</v>
      </c>
      <c r="R6" s="68">
        <f t="shared" si="3"/>
        <v>200000</v>
      </c>
      <c r="S6" s="68">
        <f t="shared" si="3"/>
        <v>0</v>
      </c>
      <c r="T6" s="68">
        <f t="shared" si="3"/>
        <v>0</v>
      </c>
      <c r="U6" s="58"/>
      <c r="V6" s="58"/>
      <c r="W6" s="58"/>
      <c r="X6" s="58"/>
      <c r="Y6" s="58"/>
      <c r="Z6" s="58"/>
    </row>
    <row r="7" spans="1:26" x14ac:dyDescent="0.25">
      <c r="A7" s="63" t="s">
        <v>9</v>
      </c>
      <c r="B7" s="64">
        <v>380</v>
      </c>
      <c r="C7" s="65">
        <v>3</v>
      </c>
      <c r="D7" s="66">
        <v>2</v>
      </c>
      <c r="E7" s="66"/>
      <c r="F7" s="66"/>
      <c r="G7" s="58"/>
      <c r="H7" s="63" t="s">
        <v>9</v>
      </c>
      <c r="I7" s="67">
        <v>40000</v>
      </c>
      <c r="J7" s="65">
        <v>70000</v>
      </c>
      <c r="K7" s="68">
        <v>100000</v>
      </c>
      <c r="L7" s="68"/>
      <c r="M7" s="68"/>
      <c r="N7" s="58"/>
      <c r="O7" s="63" t="s">
        <v>9</v>
      </c>
      <c r="P7" s="69">
        <f t="shared" ref="P7:T7" si="4">+I7*B7</f>
        <v>15200000</v>
      </c>
      <c r="Q7" s="69">
        <f t="shared" si="4"/>
        <v>210000</v>
      </c>
      <c r="R7" s="68">
        <f t="shared" si="4"/>
        <v>200000</v>
      </c>
      <c r="S7" s="68">
        <f t="shared" si="4"/>
        <v>0</v>
      </c>
      <c r="T7" s="68">
        <f t="shared" si="4"/>
        <v>0</v>
      </c>
      <c r="U7" s="58"/>
      <c r="V7" s="58"/>
      <c r="W7" s="58"/>
      <c r="X7" s="58"/>
      <c r="Y7" s="58"/>
      <c r="Z7" s="58"/>
    </row>
    <row r="8" spans="1:26" x14ac:dyDescent="0.25">
      <c r="A8" s="63" t="s">
        <v>10</v>
      </c>
      <c r="B8" s="64">
        <v>380</v>
      </c>
      <c r="C8" s="65">
        <v>3</v>
      </c>
      <c r="D8" s="66">
        <v>2</v>
      </c>
      <c r="E8" s="66"/>
      <c r="F8" s="66"/>
      <c r="G8" s="58"/>
      <c r="H8" s="63" t="s">
        <v>10</v>
      </c>
      <c r="I8" s="67">
        <v>40000</v>
      </c>
      <c r="J8" s="65">
        <v>70000</v>
      </c>
      <c r="K8" s="68">
        <v>100000</v>
      </c>
      <c r="L8" s="68"/>
      <c r="M8" s="68"/>
      <c r="N8" s="58"/>
      <c r="O8" s="63" t="s">
        <v>10</v>
      </c>
      <c r="P8" s="69">
        <f t="shared" ref="P8:T8" si="5">+I8*B8</f>
        <v>15200000</v>
      </c>
      <c r="Q8" s="69">
        <f t="shared" si="5"/>
        <v>210000</v>
      </c>
      <c r="R8" s="68">
        <f t="shared" si="5"/>
        <v>200000</v>
      </c>
      <c r="S8" s="68">
        <f t="shared" si="5"/>
        <v>0</v>
      </c>
      <c r="T8" s="68">
        <f t="shared" si="5"/>
        <v>0</v>
      </c>
      <c r="U8" s="58"/>
      <c r="V8" s="58"/>
      <c r="W8" s="58"/>
      <c r="X8" s="58"/>
      <c r="Y8" s="58"/>
      <c r="Z8" s="58"/>
    </row>
    <row r="9" spans="1:26" x14ac:dyDescent="0.25">
      <c r="A9" s="63" t="s">
        <v>11</v>
      </c>
      <c r="B9" s="64">
        <v>380</v>
      </c>
      <c r="C9" s="65">
        <v>3</v>
      </c>
      <c r="D9" s="66">
        <v>2</v>
      </c>
      <c r="E9" s="66"/>
      <c r="F9" s="66"/>
      <c r="G9" s="58"/>
      <c r="H9" s="63" t="s">
        <v>11</v>
      </c>
      <c r="I9" s="67">
        <v>40000</v>
      </c>
      <c r="J9" s="65">
        <v>70000</v>
      </c>
      <c r="K9" s="68">
        <v>100000</v>
      </c>
      <c r="L9" s="68"/>
      <c r="M9" s="68"/>
      <c r="N9" s="58"/>
      <c r="O9" s="63" t="s">
        <v>11</v>
      </c>
      <c r="P9" s="69">
        <f t="shared" ref="P9:T9" si="6">+I9*B9</f>
        <v>15200000</v>
      </c>
      <c r="Q9" s="69">
        <f t="shared" si="6"/>
        <v>210000</v>
      </c>
      <c r="R9" s="68">
        <f t="shared" si="6"/>
        <v>200000</v>
      </c>
      <c r="S9" s="68">
        <f t="shared" si="6"/>
        <v>0</v>
      </c>
      <c r="T9" s="68">
        <f t="shared" si="6"/>
        <v>0</v>
      </c>
      <c r="U9" s="58"/>
      <c r="V9" s="58"/>
      <c r="W9" s="58"/>
      <c r="X9" s="58"/>
      <c r="Y9" s="58"/>
      <c r="Z9" s="58"/>
    </row>
    <row r="10" spans="1:26" x14ac:dyDescent="0.25">
      <c r="A10" s="63" t="s">
        <v>12</v>
      </c>
      <c r="B10" s="64">
        <v>380</v>
      </c>
      <c r="C10" s="65">
        <v>3</v>
      </c>
      <c r="D10" s="66">
        <v>2</v>
      </c>
      <c r="E10" s="66"/>
      <c r="F10" s="66"/>
      <c r="G10" s="58"/>
      <c r="H10" s="63" t="s">
        <v>12</v>
      </c>
      <c r="I10" s="67">
        <v>40000</v>
      </c>
      <c r="J10" s="65">
        <v>70000</v>
      </c>
      <c r="K10" s="68">
        <v>100000</v>
      </c>
      <c r="L10" s="68"/>
      <c r="M10" s="68"/>
      <c r="N10" s="58"/>
      <c r="O10" s="63" t="s">
        <v>12</v>
      </c>
      <c r="P10" s="69">
        <f t="shared" ref="P10:T10" si="7">+I10*B10</f>
        <v>15200000</v>
      </c>
      <c r="Q10" s="69">
        <f t="shared" si="7"/>
        <v>210000</v>
      </c>
      <c r="R10" s="68">
        <f t="shared" si="7"/>
        <v>200000</v>
      </c>
      <c r="S10" s="68">
        <f t="shared" si="7"/>
        <v>0</v>
      </c>
      <c r="T10" s="68">
        <f t="shared" si="7"/>
        <v>0</v>
      </c>
      <c r="U10" s="58"/>
      <c r="V10" s="58"/>
      <c r="W10" s="58"/>
      <c r="X10" s="58"/>
      <c r="Y10" s="58"/>
      <c r="Z10" s="58"/>
    </row>
    <row r="11" spans="1:26" x14ac:dyDescent="0.25">
      <c r="A11" s="63" t="s">
        <v>13</v>
      </c>
      <c r="B11" s="64">
        <v>380</v>
      </c>
      <c r="C11" s="65">
        <v>3</v>
      </c>
      <c r="D11" s="66">
        <v>2</v>
      </c>
      <c r="E11" s="66"/>
      <c r="F11" s="66"/>
      <c r="G11" s="58"/>
      <c r="H11" s="63" t="s">
        <v>13</v>
      </c>
      <c r="I11" s="67">
        <v>40000</v>
      </c>
      <c r="J11" s="65">
        <v>70000</v>
      </c>
      <c r="K11" s="68">
        <v>100000</v>
      </c>
      <c r="L11" s="68"/>
      <c r="M11" s="68"/>
      <c r="N11" s="58"/>
      <c r="O11" s="63" t="s">
        <v>13</v>
      </c>
      <c r="P11" s="69">
        <f t="shared" ref="P11:T11" si="8">+I11*B11</f>
        <v>15200000</v>
      </c>
      <c r="Q11" s="69">
        <f t="shared" si="8"/>
        <v>210000</v>
      </c>
      <c r="R11" s="68">
        <f t="shared" si="8"/>
        <v>200000</v>
      </c>
      <c r="S11" s="68">
        <f t="shared" si="8"/>
        <v>0</v>
      </c>
      <c r="T11" s="68">
        <f t="shared" si="8"/>
        <v>0</v>
      </c>
      <c r="U11" s="58"/>
      <c r="V11" s="58"/>
      <c r="W11" s="58"/>
      <c r="X11" s="58"/>
      <c r="Y11" s="58"/>
      <c r="Z11" s="58"/>
    </row>
    <row r="12" spans="1:26" x14ac:dyDescent="0.25">
      <c r="A12" s="63" t="s">
        <v>14</v>
      </c>
      <c r="B12" s="64">
        <v>380</v>
      </c>
      <c r="C12" s="65">
        <v>3</v>
      </c>
      <c r="D12" s="66">
        <v>2</v>
      </c>
      <c r="E12" s="66"/>
      <c r="F12" s="66"/>
      <c r="G12" s="58"/>
      <c r="H12" s="63" t="s">
        <v>14</v>
      </c>
      <c r="I12" s="67">
        <v>40000</v>
      </c>
      <c r="J12" s="65">
        <v>70000</v>
      </c>
      <c r="K12" s="68">
        <v>100000</v>
      </c>
      <c r="L12" s="68"/>
      <c r="M12" s="68"/>
      <c r="N12" s="58"/>
      <c r="O12" s="63" t="s">
        <v>14</v>
      </c>
      <c r="P12" s="69">
        <f t="shared" ref="P12:T12" si="9">+I12*B12</f>
        <v>15200000</v>
      </c>
      <c r="Q12" s="69">
        <f t="shared" si="9"/>
        <v>210000</v>
      </c>
      <c r="R12" s="68">
        <f t="shared" si="9"/>
        <v>200000</v>
      </c>
      <c r="S12" s="68">
        <f t="shared" si="9"/>
        <v>0</v>
      </c>
      <c r="T12" s="68">
        <f t="shared" si="9"/>
        <v>0</v>
      </c>
      <c r="U12" s="58"/>
      <c r="V12" s="58"/>
      <c r="W12" s="58"/>
      <c r="X12" s="58"/>
      <c r="Y12" s="58"/>
      <c r="Z12" s="58"/>
    </row>
    <row r="13" spans="1:26" x14ac:dyDescent="0.25">
      <c r="A13" s="63" t="s">
        <v>15</v>
      </c>
      <c r="B13" s="64">
        <v>380</v>
      </c>
      <c r="C13" s="65">
        <v>3</v>
      </c>
      <c r="D13" s="66">
        <v>2</v>
      </c>
      <c r="E13" s="66"/>
      <c r="F13" s="66"/>
      <c r="G13" s="58"/>
      <c r="H13" s="63" t="s">
        <v>15</v>
      </c>
      <c r="I13" s="67">
        <v>40000</v>
      </c>
      <c r="J13" s="65">
        <v>70000</v>
      </c>
      <c r="K13" s="68">
        <v>100000</v>
      </c>
      <c r="L13" s="68"/>
      <c r="M13" s="68"/>
      <c r="N13" s="58"/>
      <c r="O13" s="63" t="s">
        <v>15</v>
      </c>
      <c r="P13" s="69">
        <f t="shared" ref="P13:T13" si="10">+I13*B13</f>
        <v>15200000</v>
      </c>
      <c r="Q13" s="69">
        <f t="shared" si="10"/>
        <v>210000</v>
      </c>
      <c r="R13" s="68">
        <f t="shared" si="10"/>
        <v>200000</v>
      </c>
      <c r="S13" s="68">
        <f t="shared" si="10"/>
        <v>0</v>
      </c>
      <c r="T13" s="68">
        <f t="shared" si="10"/>
        <v>0</v>
      </c>
      <c r="U13" s="58"/>
      <c r="V13" s="58"/>
      <c r="W13" s="58"/>
      <c r="X13" s="58"/>
      <c r="Y13" s="58"/>
      <c r="Z13" s="58"/>
    </row>
    <row r="14" spans="1:26" x14ac:dyDescent="0.25">
      <c r="A14" s="63" t="s">
        <v>16</v>
      </c>
      <c r="B14" s="64">
        <v>380</v>
      </c>
      <c r="C14" s="65">
        <v>3</v>
      </c>
      <c r="D14" s="66">
        <v>2</v>
      </c>
      <c r="E14" s="66"/>
      <c r="F14" s="66"/>
      <c r="G14" s="58"/>
      <c r="H14" s="63" t="s">
        <v>16</v>
      </c>
      <c r="I14" s="67">
        <v>40000</v>
      </c>
      <c r="J14" s="65">
        <v>70000</v>
      </c>
      <c r="K14" s="68">
        <v>100000</v>
      </c>
      <c r="L14" s="68"/>
      <c r="M14" s="68"/>
      <c r="N14" s="58"/>
      <c r="O14" s="63" t="s">
        <v>16</v>
      </c>
      <c r="P14" s="69">
        <f t="shared" ref="P14:T14" si="11">+I14*B14</f>
        <v>15200000</v>
      </c>
      <c r="Q14" s="69">
        <f t="shared" si="11"/>
        <v>210000</v>
      </c>
      <c r="R14" s="68">
        <f t="shared" si="11"/>
        <v>200000</v>
      </c>
      <c r="S14" s="68">
        <f t="shared" si="11"/>
        <v>0</v>
      </c>
      <c r="T14" s="68">
        <f t="shared" si="11"/>
        <v>0</v>
      </c>
      <c r="U14" s="58"/>
      <c r="V14" s="58"/>
      <c r="W14" s="58"/>
      <c r="X14" s="58"/>
      <c r="Y14" s="58"/>
      <c r="Z14" s="58"/>
    </row>
    <row r="15" spans="1:26" x14ac:dyDescent="0.25">
      <c r="A15" s="63" t="s">
        <v>17</v>
      </c>
      <c r="B15" s="64">
        <v>380</v>
      </c>
      <c r="C15" s="65">
        <v>3</v>
      </c>
      <c r="D15" s="66">
        <v>2</v>
      </c>
      <c r="E15" s="66"/>
      <c r="F15" s="66"/>
      <c r="G15" s="58"/>
      <c r="H15" s="63" t="s">
        <v>17</v>
      </c>
      <c r="I15" s="67">
        <v>40000</v>
      </c>
      <c r="J15" s="65">
        <v>70000</v>
      </c>
      <c r="K15" s="68">
        <v>100000</v>
      </c>
      <c r="L15" s="68"/>
      <c r="M15" s="68"/>
      <c r="N15" s="58"/>
      <c r="O15" s="63" t="s">
        <v>17</v>
      </c>
      <c r="P15" s="69">
        <f t="shared" ref="P15:T15" si="12">+I15*B15</f>
        <v>15200000</v>
      </c>
      <c r="Q15" s="69">
        <f t="shared" si="12"/>
        <v>210000</v>
      </c>
      <c r="R15" s="68">
        <f t="shared" si="12"/>
        <v>200000</v>
      </c>
      <c r="S15" s="68">
        <f t="shared" si="12"/>
        <v>0</v>
      </c>
      <c r="T15" s="68">
        <f t="shared" si="12"/>
        <v>0</v>
      </c>
      <c r="U15" s="58"/>
      <c r="V15" s="58"/>
      <c r="W15" s="58"/>
      <c r="X15" s="58"/>
      <c r="Y15" s="58"/>
      <c r="Z15" s="58"/>
    </row>
    <row r="16" spans="1:26" x14ac:dyDescent="0.25">
      <c r="A16" s="63" t="s">
        <v>18</v>
      </c>
      <c r="B16" s="64">
        <v>380</v>
      </c>
      <c r="C16" s="65">
        <v>3</v>
      </c>
      <c r="D16" s="66">
        <v>2</v>
      </c>
      <c r="E16" s="66"/>
      <c r="F16" s="66"/>
      <c r="G16" s="58"/>
      <c r="H16" s="63" t="s">
        <v>18</v>
      </c>
      <c r="I16" s="67">
        <v>40000</v>
      </c>
      <c r="J16" s="65">
        <v>70000</v>
      </c>
      <c r="K16" s="68">
        <v>100000</v>
      </c>
      <c r="L16" s="68"/>
      <c r="M16" s="68"/>
      <c r="N16" s="58"/>
      <c r="O16" s="63" t="s">
        <v>18</v>
      </c>
      <c r="P16" s="69">
        <f t="shared" ref="P16:T16" si="13">+I16*B16</f>
        <v>15200000</v>
      </c>
      <c r="Q16" s="69">
        <f t="shared" si="13"/>
        <v>210000</v>
      </c>
      <c r="R16" s="68">
        <f t="shared" si="13"/>
        <v>200000</v>
      </c>
      <c r="S16" s="68">
        <f t="shared" si="13"/>
        <v>0</v>
      </c>
      <c r="T16" s="68">
        <f t="shared" si="13"/>
        <v>0</v>
      </c>
      <c r="U16" s="58"/>
      <c r="V16" s="58"/>
      <c r="W16" s="58"/>
      <c r="X16" s="58"/>
      <c r="Y16" s="58"/>
      <c r="Z16" s="58"/>
    </row>
    <row r="17" spans="1:26" ht="15.75" customHeight="1" x14ac:dyDescent="0.3">
      <c r="A17" s="70" t="s">
        <v>48</v>
      </c>
      <c r="B17" s="71">
        <f t="shared" ref="B17:F17" si="14">+SUM(B5:B16)</f>
        <v>4560</v>
      </c>
      <c r="C17" s="71">
        <f t="shared" si="14"/>
        <v>36</v>
      </c>
      <c r="D17" s="72">
        <f t="shared" si="14"/>
        <v>24</v>
      </c>
      <c r="E17" s="72">
        <f t="shared" si="14"/>
        <v>0</v>
      </c>
      <c r="F17" s="72">
        <f t="shared" si="14"/>
        <v>0</v>
      </c>
      <c r="G17" s="58"/>
      <c r="H17" s="70" t="s">
        <v>48</v>
      </c>
      <c r="I17" s="71"/>
      <c r="J17" s="71"/>
      <c r="K17" s="71"/>
      <c r="L17" s="71"/>
      <c r="M17" s="71"/>
      <c r="N17" s="58"/>
      <c r="O17" s="70" t="s">
        <v>48</v>
      </c>
      <c r="P17" s="71">
        <f t="shared" ref="P17:T17" si="15">+SUM(P5:P16)</f>
        <v>182400000</v>
      </c>
      <c r="Q17" s="71">
        <f t="shared" si="15"/>
        <v>2520000</v>
      </c>
      <c r="R17" s="71">
        <f t="shared" si="15"/>
        <v>2400000</v>
      </c>
      <c r="S17" s="71">
        <f t="shared" si="15"/>
        <v>0</v>
      </c>
      <c r="T17" s="71">
        <f t="shared" si="15"/>
        <v>0</v>
      </c>
      <c r="U17" s="58"/>
      <c r="V17" s="58"/>
      <c r="W17" s="58"/>
      <c r="X17" s="58"/>
      <c r="Y17" s="58"/>
      <c r="Z17" s="58"/>
    </row>
    <row r="18" spans="1:26" ht="15.75" customHeight="1" x14ac:dyDescent="0.3">
      <c r="A18" s="61" t="s">
        <v>49</v>
      </c>
      <c r="B18" s="66"/>
      <c r="C18" s="68"/>
      <c r="D18" s="66"/>
      <c r="E18" s="66"/>
      <c r="F18" s="66"/>
      <c r="G18" s="58"/>
      <c r="H18" s="61" t="s">
        <v>49</v>
      </c>
      <c r="I18" s="68"/>
      <c r="J18" s="68"/>
      <c r="K18" s="68"/>
      <c r="L18" s="68"/>
      <c r="M18" s="68"/>
      <c r="N18" s="58"/>
      <c r="O18" s="61" t="s">
        <v>49</v>
      </c>
      <c r="P18" s="68"/>
      <c r="Q18" s="68"/>
      <c r="R18" s="68"/>
      <c r="S18" s="68"/>
      <c r="T18" s="68"/>
      <c r="U18" s="58"/>
      <c r="V18" s="58"/>
      <c r="W18" s="58"/>
      <c r="X18" s="58"/>
      <c r="Y18" s="58"/>
      <c r="Z18" s="58"/>
    </row>
    <row r="19" spans="1:26" x14ac:dyDescent="0.25">
      <c r="A19" s="63" t="s">
        <v>7</v>
      </c>
      <c r="B19" s="66"/>
      <c r="C19" s="68"/>
      <c r="D19" s="66"/>
      <c r="E19" s="66"/>
      <c r="F19" s="66"/>
      <c r="G19" s="58"/>
      <c r="H19" s="63" t="s">
        <v>7</v>
      </c>
      <c r="I19" s="68">
        <f>+I16*1.05</f>
        <v>42000</v>
      </c>
      <c r="J19" s="68">
        <f t="shared" ref="J19:M19" si="16">+J16*1.95</f>
        <v>136500</v>
      </c>
      <c r="K19" s="68">
        <f t="shared" si="16"/>
        <v>195000</v>
      </c>
      <c r="L19" s="68">
        <f t="shared" si="16"/>
        <v>0</v>
      </c>
      <c r="M19" s="68">
        <f t="shared" si="16"/>
        <v>0</v>
      </c>
      <c r="N19" s="58"/>
      <c r="O19" s="63" t="s">
        <v>7</v>
      </c>
      <c r="P19" s="68">
        <f t="shared" ref="P19:T19" si="17">+I19*B19</f>
        <v>0</v>
      </c>
      <c r="Q19" s="68">
        <f t="shared" si="17"/>
        <v>0</v>
      </c>
      <c r="R19" s="68">
        <f t="shared" si="17"/>
        <v>0</v>
      </c>
      <c r="S19" s="68">
        <f t="shared" si="17"/>
        <v>0</v>
      </c>
      <c r="T19" s="68">
        <f t="shared" si="17"/>
        <v>0</v>
      </c>
      <c r="U19" s="58"/>
      <c r="V19" s="58"/>
      <c r="W19" s="58"/>
      <c r="X19" s="58"/>
      <c r="Y19" s="58"/>
      <c r="Z19" s="58"/>
    </row>
    <row r="20" spans="1:26" x14ac:dyDescent="0.25">
      <c r="A20" s="63" t="s">
        <v>8</v>
      </c>
      <c r="B20" s="66"/>
      <c r="C20" s="68"/>
      <c r="D20" s="66"/>
      <c r="E20" s="66"/>
      <c r="F20" s="66"/>
      <c r="G20" s="58"/>
      <c r="H20" s="63" t="s">
        <v>8</v>
      </c>
      <c r="I20" s="68">
        <f t="shared" ref="I20:M20" si="18">+I19</f>
        <v>42000</v>
      </c>
      <c r="J20" s="68">
        <f t="shared" si="18"/>
        <v>136500</v>
      </c>
      <c r="K20" s="68">
        <f t="shared" si="18"/>
        <v>195000</v>
      </c>
      <c r="L20" s="68">
        <f t="shared" si="18"/>
        <v>0</v>
      </c>
      <c r="M20" s="68">
        <f t="shared" si="18"/>
        <v>0</v>
      </c>
      <c r="N20" s="58"/>
      <c r="O20" s="63" t="s">
        <v>8</v>
      </c>
      <c r="P20" s="68">
        <f t="shared" ref="P20:T20" si="19">+I20*B20</f>
        <v>0</v>
      </c>
      <c r="Q20" s="68">
        <f t="shared" si="19"/>
        <v>0</v>
      </c>
      <c r="R20" s="68">
        <f t="shared" si="19"/>
        <v>0</v>
      </c>
      <c r="S20" s="68">
        <f t="shared" si="19"/>
        <v>0</v>
      </c>
      <c r="T20" s="68">
        <f t="shared" si="19"/>
        <v>0</v>
      </c>
      <c r="U20" s="58"/>
      <c r="V20" s="58"/>
      <c r="W20" s="58"/>
      <c r="X20" s="58"/>
      <c r="Y20" s="58"/>
      <c r="Z20" s="58"/>
    </row>
    <row r="21" spans="1:26" ht="15.75" customHeight="1" x14ac:dyDescent="0.25">
      <c r="A21" s="63" t="s">
        <v>9</v>
      </c>
      <c r="B21" s="66"/>
      <c r="C21" s="68"/>
      <c r="D21" s="66"/>
      <c r="E21" s="66"/>
      <c r="F21" s="66"/>
      <c r="G21" s="58"/>
      <c r="H21" s="63" t="s">
        <v>9</v>
      </c>
      <c r="I21" s="68">
        <f t="shared" ref="I21:M21" si="20">+I20</f>
        <v>42000</v>
      </c>
      <c r="J21" s="68">
        <f t="shared" si="20"/>
        <v>136500</v>
      </c>
      <c r="K21" s="68">
        <f t="shared" si="20"/>
        <v>195000</v>
      </c>
      <c r="L21" s="68">
        <f t="shared" si="20"/>
        <v>0</v>
      </c>
      <c r="M21" s="68">
        <f t="shared" si="20"/>
        <v>0</v>
      </c>
      <c r="N21" s="58"/>
      <c r="O21" s="63" t="s">
        <v>9</v>
      </c>
      <c r="P21" s="68">
        <f t="shared" ref="P21:T21" si="21">+I21*B21</f>
        <v>0</v>
      </c>
      <c r="Q21" s="68">
        <f t="shared" si="21"/>
        <v>0</v>
      </c>
      <c r="R21" s="68">
        <f t="shared" si="21"/>
        <v>0</v>
      </c>
      <c r="S21" s="68">
        <f t="shared" si="21"/>
        <v>0</v>
      </c>
      <c r="T21" s="68">
        <f t="shared" si="21"/>
        <v>0</v>
      </c>
      <c r="U21" s="58"/>
      <c r="V21" s="58"/>
      <c r="W21" s="58"/>
      <c r="X21" s="58"/>
      <c r="Y21" s="58"/>
      <c r="Z21" s="58"/>
    </row>
    <row r="22" spans="1:26" ht="15.75" customHeight="1" x14ac:dyDescent="0.25">
      <c r="A22" s="63" t="s">
        <v>10</v>
      </c>
      <c r="B22" s="66"/>
      <c r="C22" s="68"/>
      <c r="D22" s="66"/>
      <c r="E22" s="66"/>
      <c r="F22" s="66"/>
      <c r="G22" s="58"/>
      <c r="H22" s="63" t="s">
        <v>10</v>
      </c>
      <c r="I22" s="68">
        <f t="shared" ref="I22:M22" si="22">+I21</f>
        <v>42000</v>
      </c>
      <c r="J22" s="68">
        <f t="shared" si="22"/>
        <v>136500</v>
      </c>
      <c r="K22" s="68">
        <f t="shared" si="22"/>
        <v>195000</v>
      </c>
      <c r="L22" s="68">
        <f t="shared" si="22"/>
        <v>0</v>
      </c>
      <c r="M22" s="68">
        <f t="shared" si="22"/>
        <v>0</v>
      </c>
      <c r="N22" s="58"/>
      <c r="O22" s="63" t="s">
        <v>10</v>
      </c>
      <c r="P22" s="68">
        <f t="shared" ref="P22:T22" si="23">+I22*B22</f>
        <v>0</v>
      </c>
      <c r="Q22" s="68">
        <f t="shared" si="23"/>
        <v>0</v>
      </c>
      <c r="R22" s="68">
        <f t="shared" si="23"/>
        <v>0</v>
      </c>
      <c r="S22" s="68">
        <f t="shared" si="23"/>
        <v>0</v>
      </c>
      <c r="T22" s="68">
        <f t="shared" si="23"/>
        <v>0</v>
      </c>
      <c r="U22" s="58"/>
      <c r="V22" s="58"/>
      <c r="W22" s="58"/>
      <c r="X22" s="58"/>
      <c r="Y22" s="58"/>
      <c r="Z22" s="58"/>
    </row>
    <row r="23" spans="1:26" ht="15.75" customHeight="1" x14ac:dyDescent="0.25">
      <c r="A23" s="63" t="s">
        <v>11</v>
      </c>
      <c r="B23" s="66"/>
      <c r="C23" s="68"/>
      <c r="D23" s="66"/>
      <c r="E23" s="66"/>
      <c r="F23" s="66"/>
      <c r="G23" s="58"/>
      <c r="H23" s="63" t="s">
        <v>11</v>
      </c>
      <c r="I23" s="68">
        <f t="shared" ref="I23:M23" si="24">+I22</f>
        <v>42000</v>
      </c>
      <c r="J23" s="68">
        <f t="shared" si="24"/>
        <v>136500</v>
      </c>
      <c r="K23" s="68">
        <f t="shared" si="24"/>
        <v>195000</v>
      </c>
      <c r="L23" s="68">
        <f t="shared" si="24"/>
        <v>0</v>
      </c>
      <c r="M23" s="68">
        <f t="shared" si="24"/>
        <v>0</v>
      </c>
      <c r="N23" s="58"/>
      <c r="O23" s="63" t="s">
        <v>11</v>
      </c>
      <c r="P23" s="68">
        <f t="shared" ref="P23:T23" si="25">+I23*B23</f>
        <v>0</v>
      </c>
      <c r="Q23" s="68">
        <f t="shared" si="25"/>
        <v>0</v>
      </c>
      <c r="R23" s="68">
        <f t="shared" si="25"/>
        <v>0</v>
      </c>
      <c r="S23" s="68">
        <f t="shared" si="25"/>
        <v>0</v>
      </c>
      <c r="T23" s="68">
        <f t="shared" si="25"/>
        <v>0</v>
      </c>
      <c r="U23" s="58"/>
      <c r="V23" s="58"/>
      <c r="W23" s="58"/>
      <c r="X23" s="58"/>
      <c r="Y23" s="58"/>
      <c r="Z23" s="58"/>
    </row>
    <row r="24" spans="1:26" ht="15.75" customHeight="1" x14ac:dyDescent="0.25">
      <c r="A24" s="63" t="s">
        <v>12</v>
      </c>
      <c r="B24" s="66"/>
      <c r="C24" s="68"/>
      <c r="D24" s="66"/>
      <c r="E24" s="66"/>
      <c r="F24" s="66"/>
      <c r="G24" s="58"/>
      <c r="H24" s="63" t="s">
        <v>12</v>
      </c>
      <c r="I24" s="68">
        <f t="shared" ref="I24:M24" si="26">+I23</f>
        <v>42000</v>
      </c>
      <c r="J24" s="68">
        <f t="shared" si="26"/>
        <v>136500</v>
      </c>
      <c r="K24" s="68">
        <f t="shared" si="26"/>
        <v>195000</v>
      </c>
      <c r="L24" s="68">
        <f t="shared" si="26"/>
        <v>0</v>
      </c>
      <c r="M24" s="68">
        <f t="shared" si="26"/>
        <v>0</v>
      </c>
      <c r="N24" s="58"/>
      <c r="O24" s="63" t="s">
        <v>12</v>
      </c>
      <c r="P24" s="68">
        <f t="shared" ref="P24:T24" si="27">+I24*B24</f>
        <v>0</v>
      </c>
      <c r="Q24" s="68">
        <f t="shared" si="27"/>
        <v>0</v>
      </c>
      <c r="R24" s="68">
        <f t="shared" si="27"/>
        <v>0</v>
      </c>
      <c r="S24" s="68">
        <f t="shared" si="27"/>
        <v>0</v>
      </c>
      <c r="T24" s="68">
        <f t="shared" si="27"/>
        <v>0</v>
      </c>
      <c r="U24" s="58"/>
      <c r="V24" s="58"/>
      <c r="W24" s="58"/>
      <c r="X24" s="58"/>
      <c r="Y24" s="58"/>
      <c r="Z24" s="58"/>
    </row>
    <row r="25" spans="1:26" ht="15.75" customHeight="1" x14ac:dyDescent="0.25">
      <c r="A25" s="63" t="s">
        <v>13</v>
      </c>
      <c r="B25" s="66"/>
      <c r="C25" s="68"/>
      <c r="D25" s="66"/>
      <c r="E25" s="66"/>
      <c r="F25" s="66"/>
      <c r="G25" s="58"/>
      <c r="H25" s="63" t="s">
        <v>13</v>
      </c>
      <c r="I25" s="68">
        <f t="shared" ref="I25:M25" si="28">+I24</f>
        <v>42000</v>
      </c>
      <c r="J25" s="68">
        <f t="shared" si="28"/>
        <v>136500</v>
      </c>
      <c r="K25" s="68">
        <f t="shared" si="28"/>
        <v>195000</v>
      </c>
      <c r="L25" s="68">
        <f t="shared" si="28"/>
        <v>0</v>
      </c>
      <c r="M25" s="68">
        <f t="shared" si="28"/>
        <v>0</v>
      </c>
      <c r="N25" s="58"/>
      <c r="O25" s="63" t="s">
        <v>13</v>
      </c>
      <c r="P25" s="68">
        <f t="shared" ref="P25:T25" si="29">+I25*B25</f>
        <v>0</v>
      </c>
      <c r="Q25" s="68">
        <f t="shared" si="29"/>
        <v>0</v>
      </c>
      <c r="R25" s="68">
        <f t="shared" si="29"/>
        <v>0</v>
      </c>
      <c r="S25" s="68">
        <f t="shared" si="29"/>
        <v>0</v>
      </c>
      <c r="T25" s="68">
        <f t="shared" si="29"/>
        <v>0</v>
      </c>
      <c r="U25" s="58"/>
      <c r="V25" s="58"/>
      <c r="W25" s="58"/>
      <c r="X25" s="58"/>
      <c r="Y25" s="58"/>
      <c r="Z25" s="58"/>
    </row>
    <row r="26" spans="1:26" ht="15.75" customHeight="1" x14ac:dyDescent="0.25">
      <c r="A26" s="63" t="s">
        <v>14</v>
      </c>
      <c r="B26" s="66"/>
      <c r="C26" s="68"/>
      <c r="D26" s="66"/>
      <c r="E26" s="66"/>
      <c r="F26" s="66"/>
      <c r="G26" s="58"/>
      <c r="H26" s="63" t="s">
        <v>14</v>
      </c>
      <c r="I26" s="68">
        <f t="shared" ref="I26:M26" si="30">+I25</f>
        <v>42000</v>
      </c>
      <c r="J26" s="68">
        <f t="shared" si="30"/>
        <v>136500</v>
      </c>
      <c r="K26" s="68">
        <f t="shared" si="30"/>
        <v>195000</v>
      </c>
      <c r="L26" s="68">
        <f t="shared" si="30"/>
        <v>0</v>
      </c>
      <c r="M26" s="68">
        <f t="shared" si="30"/>
        <v>0</v>
      </c>
      <c r="N26" s="58"/>
      <c r="O26" s="63" t="s">
        <v>14</v>
      </c>
      <c r="P26" s="68">
        <f t="shared" ref="P26:T26" si="31">+I26*B26</f>
        <v>0</v>
      </c>
      <c r="Q26" s="68">
        <f t="shared" si="31"/>
        <v>0</v>
      </c>
      <c r="R26" s="68">
        <f t="shared" si="31"/>
        <v>0</v>
      </c>
      <c r="S26" s="68">
        <f t="shared" si="31"/>
        <v>0</v>
      </c>
      <c r="T26" s="68">
        <f t="shared" si="31"/>
        <v>0</v>
      </c>
      <c r="U26" s="58"/>
      <c r="V26" s="58"/>
      <c r="W26" s="58"/>
      <c r="X26" s="58"/>
      <c r="Y26" s="58"/>
      <c r="Z26" s="58"/>
    </row>
    <row r="27" spans="1:26" ht="15.75" customHeight="1" x14ac:dyDescent="0.25">
      <c r="A27" s="63" t="s">
        <v>15</v>
      </c>
      <c r="B27" s="66"/>
      <c r="C27" s="68"/>
      <c r="D27" s="66"/>
      <c r="E27" s="66"/>
      <c r="F27" s="66"/>
      <c r="G27" s="58"/>
      <c r="H27" s="63" t="s">
        <v>15</v>
      </c>
      <c r="I27" s="68">
        <f t="shared" ref="I27:M27" si="32">+I26</f>
        <v>42000</v>
      </c>
      <c r="J27" s="68">
        <f t="shared" si="32"/>
        <v>136500</v>
      </c>
      <c r="K27" s="68">
        <f t="shared" si="32"/>
        <v>195000</v>
      </c>
      <c r="L27" s="68">
        <f t="shared" si="32"/>
        <v>0</v>
      </c>
      <c r="M27" s="68">
        <f t="shared" si="32"/>
        <v>0</v>
      </c>
      <c r="N27" s="58"/>
      <c r="O27" s="63" t="s">
        <v>15</v>
      </c>
      <c r="P27" s="68">
        <f t="shared" ref="P27:T27" si="33">+I27*B27</f>
        <v>0</v>
      </c>
      <c r="Q27" s="68">
        <f t="shared" si="33"/>
        <v>0</v>
      </c>
      <c r="R27" s="68">
        <f t="shared" si="33"/>
        <v>0</v>
      </c>
      <c r="S27" s="68">
        <f t="shared" si="33"/>
        <v>0</v>
      </c>
      <c r="T27" s="68">
        <f t="shared" si="33"/>
        <v>0</v>
      </c>
      <c r="U27" s="58"/>
      <c r="V27" s="58"/>
      <c r="W27" s="58"/>
      <c r="X27" s="58"/>
      <c r="Y27" s="58"/>
      <c r="Z27" s="58"/>
    </row>
    <row r="28" spans="1:26" ht="15.75" customHeight="1" x14ac:dyDescent="0.25">
      <c r="A28" s="63" t="s">
        <v>16</v>
      </c>
      <c r="B28" s="66"/>
      <c r="C28" s="68"/>
      <c r="D28" s="66"/>
      <c r="E28" s="66"/>
      <c r="F28" s="66"/>
      <c r="G28" s="58"/>
      <c r="H28" s="63" t="s">
        <v>16</v>
      </c>
      <c r="I28" s="68">
        <f t="shared" ref="I28:M28" si="34">+I27</f>
        <v>42000</v>
      </c>
      <c r="J28" s="68">
        <f t="shared" si="34"/>
        <v>136500</v>
      </c>
      <c r="K28" s="68">
        <f t="shared" si="34"/>
        <v>195000</v>
      </c>
      <c r="L28" s="68">
        <f t="shared" si="34"/>
        <v>0</v>
      </c>
      <c r="M28" s="68">
        <f t="shared" si="34"/>
        <v>0</v>
      </c>
      <c r="N28" s="58"/>
      <c r="O28" s="63" t="s">
        <v>16</v>
      </c>
      <c r="P28" s="68">
        <f t="shared" ref="P28:T28" si="35">+I28*B28</f>
        <v>0</v>
      </c>
      <c r="Q28" s="68">
        <f t="shared" si="35"/>
        <v>0</v>
      </c>
      <c r="R28" s="68">
        <f t="shared" si="35"/>
        <v>0</v>
      </c>
      <c r="S28" s="68">
        <f t="shared" si="35"/>
        <v>0</v>
      </c>
      <c r="T28" s="68">
        <f t="shared" si="35"/>
        <v>0</v>
      </c>
      <c r="U28" s="58"/>
      <c r="V28" s="58"/>
      <c r="W28" s="58"/>
      <c r="X28" s="58"/>
      <c r="Y28" s="58"/>
      <c r="Z28" s="58"/>
    </row>
    <row r="29" spans="1:26" ht="15.75" customHeight="1" x14ac:dyDescent="0.25">
      <c r="A29" s="63" t="s">
        <v>17</v>
      </c>
      <c r="B29" s="66"/>
      <c r="C29" s="68"/>
      <c r="D29" s="66"/>
      <c r="E29" s="66"/>
      <c r="F29" s="66"/>
      <c r="G29" s="58"/>
      <c r="H29" s="63" t="s">
        <v>17</v>
      </c>
      <c r="I29" s="68">
        <f t="shared" ref="I29:M29" si="36">+I28</f>
        <v>42000</v>
      </c>
      <c r="J29" s="68">
        <f t="shared" si="36"/>
        <v>136500</v>
      </c>
      <c r="K29" s="68">
        <f t="shared" si="36"/>
        <v>195000</v>
      </c>
      <c r="L29" s="68">
        <f t="shared" si="36"/>
        <v>0</v>
      </c>
      <c r="M29" s="68">
        <f t="shared" si="36"/>
        <v>0</v>
      </c>
      <c r="N29" s="58"/>
      <c r="O29" s="63" t="s">
        <v>17</v>
      </c>
      <c r="P29" s="68">
        <f t="shared" ref="P29:T29" si="37">+I29*B29</f>
        <v>0</v>
      </c>
      <c r="Q29" s="68">
        <f t="shared" si="37"/>
        <v>0</v>
      </c>
      <c r="R29" s="68">
        <f t="shared" si="37"/>
        <v>0</v>
      </c>
      <c r="S29" s="68">
        <f t="shared" si="37"/>
        <v>0</v>
      </c>
      <c r="T29" s="68">
        <f t="shared" si="37"/>
        <v>0</v>
      </c>
      <c r="U29" s="58"/>
      <c r="V29" s="58"/>
      <c r="W29" s="58"/>
      <c r="X29" s="58"/>
      <c r="Y29" s="58"/>
      <c r="Z29" s="58"/>
    </row>
    <row r="30" spans="1:26" ht="15.75" customHeight="1" x14ac:dyDescent="0.25">
      <c r="A30" s="63" t="s">
        <v>18</v>
      </c>
      <c r="B30" s="66"/>
      <c r="C30" s="68"/>
      <c r="D30" s="66"/>
      <c r="E30" s="66"/>
      <c r="F30" s="66"/>
      <c r="G30" s="58"/>
      <c r="H30" s="63" t="s">
        <v>18</v>
      </c>
      <c r="I30" s="68">
        <f t="shared" ref="I30:M30" si="38">+I29</f>
        <v>42000</v>
      </c>
      <c r="J30" s="68">
        <f t="shared" si="38"/>
        <v>136500</v>
      </c>
      <c r="K30" s="68">
        <f t="shared" si="38"/>
        <v>195000</v>
      </c>
      <c r="L30" s="68">
        <f t="shared" si="38"/>
        <v>0</v>
      </c>
      <c r="M30" s="68">
        <f t="shared" si="38"/>
        <v>0</v>
      </c>
      <c r="N30" s="58"/>
      <c r="O30" s="63" t="s">
        <v>18</v>
      </c>
      <c r="P30" s="68">
        <f t="shared" ref="P30:T30" si="39">+I30*B30</f>
        <v>0</v>
      </c>
      <c r="Q30" s="68">
        <f t="shared" si="39"/>
        <v>0</v>
      </c>
      <c r="R30" s="68">
        <f t="shared" si="39"/>
        <v>0</v>
      </c>
      <c r="S30" s="68">
        <f t="shared" si="39"/>
        <v>0</v>
      </c>
      <c r="T30" s="68">
        <f t="shared" si="39"/>
        <v>0</v>
      </c>
      <c r="U30" s="58"/>
      <c r="V30" s="58"/>
      <c r="W30" s="58"/>
      <c r="X30" s="58"/>
      <c r="Y30" s="58"/>
      <c r="Z30" s="58"/>
    </row>
    <row r="31" spans="1:26" ht="15.75" customHeight="1" x14ac:dyDescent="0.3">
      <c r="A31" s="70" t="s">
        <v>48</v>
      </c>
      <c r="B31" s="72">
        <f t="shared" ref="B31:C31" si="40">+SUM(B19:B30)</f>
        <v>0</v>
      </c>
      <c r="C31" s="71">
        <f t="shared" si="40"/>
        <v>0</v>
      </c>
      <c r="D31" s="72"/>
      <c r="E31" s="72"/>
      <c r="F31" s="72">
        <f>+SUM(F19:F30)</f>
        <v>0</v>
      </c>
      <c r="G31" s="58"/>
      <c r="H31" s="70" t="s">
        <v>48</v>
      </c>
      <c r="I31" s="71"/>
      <c r="J31" s="71"/>
      <c r="K31" s="71"/>
      <c r="L31" s="71"/>
      <c r="M31" s="71"/>
      <c r="N31" s="58"/>
      <c r="O31" s="70" t="s">
        <v>48</v>
      </c>
      <c r="P31" s="71">
        <f t="shared" ref="P31:T31" si="41">+SUM(P19:P30)</f>
        <v>0</v>
      </c>
      <c r="Q31" s="71">
        <f t="shared" si="41"/>
        <v>0</v>
      </c>
      <c r="R31" s="71">
        <f t="shared" si="41"/>
        <v>0</v>
      </c>
      <c r="S31" s="71">
        <f t="shared" si="41"/>
        <v>0</v>
      </c>
      <c r="T31" s="71">
        <f t="shared" si="41"/>
        <v>0</v>
      </c>
      <c r="U31" s="58"/>
      <c r="V31" s="58"/>
      <c r="W31" s="58"/>
      <c r="X31" s="58"/>
      <c r="Y31" s="58"/>
      <c r="Z31" s="58"/>
    </row>
    <row r="32" spans="1:26" ht="15.75" customHeight="1" x14ac:dyDescent="0.3">
      <c r="A32" s="61" t="s">
        <v>50</v>
      </c>
      <c r="B32" s="66"/>
      <c r="C32" s="68"/>
      <c r="D32" s="66"/>
      <c r="E32" s="66"/>
      <c r="F32" s="66"/>
      <c r="G32" s="58"/>
      <c r="H32" s="61" t="s">
        <v>50</v>
      </c>
      <c r="I32" s="68"/>
      <c r="J32" s="68"/>
      <c r="K32" s="68"/>
      <c r="L32" s="68"/>
      <c r="M32" s="68"/>
      <c r="N32" s="58"/>
      <c r="O32" s="61" t="s">
        <v>50</v>
      </c>
      <c r="P32" s="68"/>
      <c r="Q32" s="68"/>
      <c r="R32" s="68"/>
      <c r="S32" s="68"/>
      <c r="T32" s="68"/>
      <c r="U32" s="58"/>
      <c r="V32" s="58"/>
      <c r="W32" s="58"/>
      <c r="X32" s="58"/>
      <c r="Y32" s="58"/>
      <c r="Z32" s="58"/>
    </row>
    <row r="33" spans="1:26" ht="15.75" customHeight="1" x14ac:dyDescent="0.25">
      <c r="A33" s="63" t="s">
        <v>7</v>
      </c>
      <c r="B33" s="66"/>
      <c r="C33" s="68"/>
      <c r="D33" s="66"/>
      <c r="E33" s="66"/>
      <c r="F33" s="66"/>
      <c r="G33" s="58"/>
      <c r="H33" s="63" t="s">
        <v>7</v>
      </c>
      <c r="I33" s="68">
        <f>+I30*1.05</f>
        <v>44100</v>
      </c>
      <c r="J33" s="68">
        <f t="shared" ref="J33:M33" si="42">+J30*1.95</f>
        <v>266175</v>
      </c>
      <c r="K33" s="68">
        <f t="shared" si="42"/>
        <v>380250</v>
      </c>
      <c r="L33" s="68">
        <f t="shared" si="42"/>
        <v>0</v>
      </c>
      <c r="M33" s="68">
        <f t="shared" si="42"/>
        <v>0</v>
      </c>
      <c r="N33" s="58"/>
      <c r="O33" s="63" t="s">
        <v>7</v>
      </c>
      <c r="P33" s="68">
        <f t="shared" ref="P33:T33" si="43">+I33*B33</f>
        <v>0</v>
      </c>
      <c r="Q33" s="68">
        <f t="shared" si="43"/>
        <v>0</v>
      </c>
      <c r="R33" s="68">
        <f t="shared" si="43"/>
        <v>0</v>
      </c>
      <c r="S33" s="68">
        <f t="shared" si="43"/>
        <v>0</v>
      </c>
      <c r="T33" s="68">
        <f t="shared" si="43"/>
        <v>0</v>
      </c>
      <c r="U33" s="58"/>
      <c r="V33" s="58"/>
      <c r="W33" s="58"/>
      <c r="X33" s="58"/>
      <c r="Y33" s="58"/>
      <c r="Z33" s="58"/>
    </row>
    <row r="34" spans="1:26" ht="15.75" customHeight="1" x14ac:dyDescent="0.25">
      <c r="A34" s="63" t="s">
        <v>8</v>
      </c>
      <c r="B34" s="66"/>
      <c r="C34" s="68"/>
      <c r="D34" s="66"/>
      <c r="E34" s="66"/>
      <c r="F34" s="66"/>
      <c r="G34" s="58"/>
      <c r="H34" s="63" t="s">
        <v>8</v>
      </c>
      <c r="I34" s="68">
        <f t="shared" ref="I34:M34" si="44">+I33</f>
        <v>44100</v>
      </c>
      <c r="J34" s="68">
        <f t="shared" si="44"/>
        <v>266175</v>
      </c>
      <c r="K34" s="68">
        <f t="shared" si="44"/>
        <v>380250</v>
      </c>
      <c r="L34" s="68">
        <f t="shared" si="44"/>
        <v>0</v>
      </c>
      <c r="M34" s="68">
        <f t="shared" si="44"/>
        <v>0</v>
      </c>
      <c r="N34" s="58"/>
      <c r="O34" s="63" t="s">
        <v>8</v>
      </c>
      <c r="P34" s="68">
        <f t="shared" ref="P34:T34" si="45">+I34*B34</f>
        <v>0</v>
      </c>
      <c r="Q34" s="68">
        <f t="shared" si="45"/>
        <v>0</v>
      </c>
      <c r="R34" s="68">
        <f t="shared" si="45"/>
        <v>0</v>
      </c>
      <c r="S34" s="68">
        <f t="shared" si="45"/>
        <v>0</v>
      </c>
      <c r="T34" s="68">
        <f t="shared" si="45"/>
        <v>0</v>
      </c>
      <c r="U34" s="58"/>
      <c r="V34" s="58"/>
      <c r="W34" s="58"/>
      <c r="X34" s="58"/>
      <c r="Y34" s="58"/>
      <c r="Z34" s="58"/>
    </row>
    <row r="35" spans="1:26" ht="15.75" customHeight="1" x14ac:dyDescent="0.25">
      <c r="A35" s="63" t="s">
        <v>9</v>
      </c>
      <c r="B35" s="66"/>
      <c r="C35" s="68"/>
      <c r="D35" s="66"/>
      <c r="E35" s="66"/>
      <c r="F35" s="66"/>
      <c r="G35" s="58"/>
      <c r="H35" s="63" t="s">
        <v>9</v>
      </c>
      <c r="I35" s="68">
        <f t="shared" ref="I35:M35" si="46">+I34</f>
        <v>44100</v>
      </c>
      <c r="J35" s="68">
        <f t="shared" si="46"/>
        <v>266175</v>
      </c>
      <c r="K35" s="68">
        <f t="shared" si="46"/>
        <v>380250</v>
      </c>
      <c r="L35" s="68">
        <f t="shared" si="46"/>
        <v>0</v>
      </c>
      <c r="M35" s="68">
        <f t="shared" si="46"/>
        <v>0</v>
      </c>
      <c r="N35" s="58"/>
      <c r="O35" s="63" t="s">
        <v>9</v>
      </c>
      <c r="P35" s="68">
        <f t="shared" ref="P35:T35" si="47">+I35*B35</f>
        <v>0</v>
      </c>
      <c r="Q35" s="68">
        <f t="shared" si="47"/>
        <v>0</v>
      </c>
      <c r="R35" s="68">
        <f t="shared" si="47"/>
        <v>0</v>
      </c>
      <c r="S35" s="68">
        <f t="shared" si="47"/>
        <v>0</v>
      </c>
      <c r="T35" s="68">
        <f t="shared" si="47"/>
        <v>0</v>
      </c>
      <c r="U35" s="58"/>
      <c r="V35" s="58"/>
      <c r="W35" s="58"/>
      <c r="X35" s="58"/>
      <c r="Y35" s="58"/>
      <c r="Z35" s="58"/>
    </row>
    <row r="36" spans="1:26" ht="15.75" customHeight="1" x14ac:dyDescent="0.25">
      <c r="A36" s="63" t="s">
        <v>10</v>
      </c>
      <c r="B36" s="66"/>
      <c r="C36" s="68"/>
      <c r="D36" s="66"/>
      <c r="E36" s="66"/>
      <c r="F36" s="66"/>
      <c r="G36" s="58"/>
      <c r="H36" s="63" t="s">
        <v>10</v>
      </c>
      <c r="I36" s="68">
        <f t="shared" ref="I36:M36" si="48">+I35</f>
        <v>44100</v>
      </c>
      <c r="J36" s="68">
        <f t="shared" si="48"/>
        <v>266175</v>
      </c>
      <c r="K36" s="68">
        <f t="shared" si="48"/>
        <v>380250</v>
      </c>
      <c r="L36" s="68">
        <f t="shared" si="48"/>
        <v>0</v>
      </c>
      <c r="M36" s="68">
        <f t="shared" si="48"/>
        <v>0</v>
      </c>
      <c r="N36" s="58"/>
      <c r="O36" s="63" t="s">
        <v>10</v>
      </c>
      <c r="P36" s="68">
        <f t="shared" ref="P36:T36" si="49">+I36*B36</f>
        <v>0</v>
      </c>
      <c r="Q36" s="68">
        <f t="shared" si="49"/>
        <v>0</v>
      </c>
      <c r="R36" s="68">
        <f t="shared" si="49"/>
        <v>0</v>
      </c>
      <c r="S36" s="68">
        <f t="shared" si="49"/>
        <v>0</v>
      </c>
      <c r="T36" s="68">
        <f t="shared" si="49"/>
        <v>0</v>
      </c>
      <c r="U36" s="58"/>
      <c r="V36" s="58"/>
      <c r="W36" s="58"/>
      <c r="X36" s="58"/>
      <c r="Y36" s="58"/>
      <c r="Z36" s="58"/>
    </row>
    <row r="37" spans="1:26" ht="15.75" customHeight="1" x14ac:dyDescent="0.25">
      <c r="A37" s="63" t="s">
        <v>11</v>
      </c>
      <c r="B37" s="66"/>
      <c r="C37" s="68"/>
      <c r="D37" s="66"/>
      <c r="E37" s="66"/>
      <c r="F37" s="66"/>
      <c r="G37" s="58"/>
      <c r="H37" s="63" t="s">
        <v>11</v>
      </c>
      <c r="I37" s="68">
        <f t="shared" ref="I37:M37" si="50">+I36</f>
        <v>44100</v>
      </c>
      <c r="J37" s="68">
        <f t="shared" si="50"/>
        <v>266175</v>
      </c>
      <c r="K37" s="68">
        <f t="shared" si="50"/>
        <v>380250</v>
      </c>
      <c r="L37" s="68">
        <f t="shared" si="50"/>
        <v>0</v>
      </c>
      <c r="M37" s="68">
        <f t="shared" si="50"/>
        <v>0</v>
      </c>
      <c r="N37" s="58"/>
      <c r="O37" s="63" t="s">
        <v>11</v>
      </c>
      <c r="P37" s="68">
        <f t="shared" ref="P37:T37" si="51">+I37*B37</f>
        <v>0</v>
      </c>
      <c r="Q37" s="68">
        <f t="shared" si="51"/>
        <v>0</v>
      </c>
      <c r="R37" s="68">
        <f t="shared" si="51"/>
        <v>0</v>
      </c>
      <c r="S37" s="68">
        <f t="shared" si="51"/>
        <v>0</v>
      </c>
      <c r="T37" s="68">
        <f t="shared" si="51"/>
        <v>0</v>
      </c>
      <c r="U37" s="58"/>
      <c r="V37" s="58"/>
      <c r="W37" s="58"/>
      <c r="X37" s="58"/>
      <c r="Y37" s="58"/>
      <c r="Z37" s="58"/>
    </row>
    <row r="38" spans="1:26" ht="15.75" customHeight="1" x14ac:dyDescent="0.25">
      <c r="A38" s="63" t="s">
        <v>12</v>
      </c>
      <c r="B38" s="66"/>
      <c r="C38" s="68"/>
      <c r="D38" s="66"/>
      <c r="E38" s="66"/>
      <c r="F38" s="66"/>
      <c r="G38" s="58"/>
      <c r="H38" s="63" t="s">
        <v>12</v>
      </c>
      <c r="I38" s="68">
        <f t="shared" ref="I38:M38" si="52">+I37</f>
        <v>44100</v>
      </c>
      <c r="J38" s="68">
        <f t="shared" si="52"/>
        <v>266175</v>
      </c>
      <c r="K38" s="68">
        <f t="shared" si="52"/>
        <v>380250</v>
      </c>
      <c r="L38" s="68">
        <f t="shared" si="52"/>
        <v>0</v>
      </c>
      <c r="M38" s="68">
        <f t="shared" si="52"/>
        <v>0</v>
      </c>
      <c r="N38" s="58"/>
      <c r="O38" s="63" t="s">
        <v>12</v>
      </c>
      <c r="P38" s="68">
        <f t="shared" ref="P38:T38" si="53">+I38*B38</f>
        <v>0</v>
      </c>
      <c r="Q38" s="68">
        <f t="shared" si="53"/>
        <v>0</v>
      </c>
      <c r="R38" s="68">
        <f t="shared" si="53"/>
        <v>0</v>
      </c>
      <c r="S38" s="68">
        <f t="shared" si="53"/>
        <v>0</v>
      </c>
      <c r="T38" s="68">
        <f t="shared" si="53"/>
        <v>0</v>
      </c>
      <c r="U38" s="58"/>
      <c r="V38" s="58"/>
      <c r="W38" s="58"/>
      <c r="X38" s="58"/>
      <c r="Y38" s="58"/>
      <c r="Z38" s="58"/>
    </row>
    <row r="39" spans="1:26" ht="15.75" customHeight="1" x14ac:dyDescent="0.25">
      <c r="A39" s="63" t="s">
        <v>13</v>
      </c>
      <c r="B39" s="66"/>
      <c r="C39" s="68"/>
      <c r="D39" s="66"/>
      <c r="E39" s="66"/>
      <c r="F39" s="66"/>
      <c r="G39" s="58"/>
      <c r="H39" s="63" t="s">
        <v>13</v>
      </c>
      <c r="I39" s="68">
        <f t="shared" ref="I39:M39" si="54">+I38</f>
        <v>44100</v>
      </c>
      <c r="J39" s="68">
        <f t="shared" si="54"/>
        <v>266175</v>
      </c>
      <c r="K39" s="68">
        <f t="shared" si="54"/>
        <v>380250</v>
      </c>
      <c r="L39" s="68">
        <f t="shared" si="54"/>
        <v>0</v>
      </c>
      <c r="M39" s="68">
        <f t="shared" si="54"/>
        <v>0</v>
      </c>
      <c r="N39" s="58"/>
      <c r="O39" s="63" t="s">
        <v>13</v>
      </c>
      <c r="P39" s="68">
        <f t="shared" ref="P39:T39" si="55">+I39*B39</f>
        <v>0</v>
      </c>
      <c r="Q39" s="68">
        <f t="shared" si="55"/>
        <v>0</v>
      </c>
      <c r="R39" s="68">
        <f t="shared" si="55"/>
        <v>0</v>
      </c>
      <c r="S39" s="68">
        <f t="shared" si="55"/>
        <v>0</v>
      </c>
      <c r="T39" s="68">
        <f t="shared" si="55"/>
        <v>0</v>
      </c>
      <c r="U39" s="58"/>
      <c r="V39" s="58"/>
      <c r="W39" s="58"/>
      <c r="X39" s="58"/>
      <c r="Y39" s="58"/>
      <c r="Z39" s="58"/>
    </row>
    <row r="40" spans="1:26" ht="15.75" customHeight="1" x14ac:dyDescent="0.25">
      <c r="A40" s="63" t="s">
        <v>14</v>
      </c>
      <c r="B40" s="66"/>
      <c r="C40" s="68"/>
      <c r="D40" s="66"/>
      <c r="E40" s="66"/>
      <c r="F40" s="66"/>
      <c r="G40" s="58"/>
      <c r="H40" s="63" t="s">
        <v>14</v>
      </c>
      <c r="I40" s="68">
        <f t="shared" ref="I40:M40" si="56">+I39</f>
        <v>44100</v>
      </c>
      <c r="J40" s="68">
        <f t="shared" si="56"/>
        <v>266175</v>
      </c>
      <c r="K40" s="68">
        <f t="shared" si="56"/>
        <v>380250</v>
      </c>
      <c r="L40" s="68">
        <f t="shared" si="56"/>
        <v>0</v>
      </c>
      <c r="M40" s="68">
        <f t="shared" si="56"/>
        <v>0</v>
      </c>
      <c r="N40" s="58"/>
      <c r="O40" s="63" t="s">
        <v>14</v>
      </c>
      <c r="P40" s="68">
        <f t="shared" ref="P40:T40" si="57">+I40*B40</f>
        <v>0</v>
      </c>
      <c r="Q40" s="68">
        <f t="shared" si="57"/>
        <v>0</v>
      </c>
      <c r="R40" s="68">
        <f t="shared" si="57"/>
        <v>0</v>
      </c>
      <c r="S40" s="68">
        <f t="shared" si="57"/>
        <v>0</v>
      </c>
      <c r="T40" s="68">
        <f t="shared" si="57"/>
        <v>0</v>
      </c>
      <c r="U40" s="58"/>
      <c r="V40" s="58"/>
      <c r="W40" s="58"/>
      <c r="X40" s="58"/>
      <c r="Y40" s="58"/>
      <c r="Z40" s="58"/>
    </row>
    <row r="41" spans="1:26" ht="15.75" customHeight="1" x14ac:dyDescent="0.25">
      <c r="A41" s="63" t="s">
        <v>15</v>
      </c>
      <c r="B41" s="66"/>
      <c r="C41" s="68"/>
      <c r="D41" s="66"/>
      <c r="E41" s="66"/>
      <c r="F41" s="66"/>
      <c r="G41" s="58"/>
      <c r="H41" s="63" t="s">
        <v>15</v>
      </c>
      <c r="I41" s="68">
        <f t="shared" ref="I41:M41" si="58">+I40</f>
        <v>44100</v>
      </c>
      <c r="J41" s="68">
        <f t="shared" si="58"/>
        <v>266175</v>
      </c>
      <c r="K41" s="68">
        <f t="shared" si="58"/>
        <v>380250</v>
      </c>
      <c r="L41" s="68">
        <f t="shared" si="58"/>
        <v>0</v>
      </c>
      <c r="M41" s="68">
        <f t="shared" si="58"/>
        <v>0</v>
      </c>
      <c r="N41" s="58"/>
      <c r="O41" s="63" t="s">
        <v>15</v>
      </c>
      <c r="P41" s="68">
        <f t="shared" ref="P41:T41" si="59">+I41*B41</f>
        <v>0</v>
      </c>
      <c r="Q41" s="68">
        <f t="shared" si="59"/>
        <v>0</v>
      </c>
      <c r="R41" s="68">
        <f t="shared" si="59"/>
        <v>0</v>
      </c>
      <c r="S41" s="68">
        <f t="shared" si="59"/>
        <v>0</v>
      </c>
      <c r="T41" s="68">
        <f t="shared" si="59"/>
        <v>0</v>
      </c>
      <c r="U41" s="58"/>
      <c r="V41" s="58"/>
      <c r="W41" s="58"/>
      <c r="X41" s="58"/>
      <c r="Y41" s="58"/>
      <c r="Z41" s="58"/>
    </row>
    <row r="42" spans="1:26" ht="15.75" customHeight="1" x14ac:dyDescent="0.25">
      <c r="A42" s="63" t="s">
        <v>16</v>
      </c>
      <c r="B42" s="66"/>
      <c r="C42" s="68"/>
      <c r="D42" s="66"/>
      <c r="E42" s="66"/>
      <c r="F42" s="66"/>
      <c r="G42" s="58"/>
      <c r="H42" s="63" t="s">
        <v>16</v>
      </c>
      <c r="I42" s="68">
        <f t="shared" ref="I42:M42" si="60">+I41</f>
        <v>44100</v>
      </c>
      <c r="J42" s="68">
        <f t="shared" si="60"/>
        <v>266175</v>
      </c>
      <c r="K42" s="68">
        <f t="shared" si="60"/>
        <v>380250</v>
      </c>
      <c r="L42" s="68">
        <f t="shared" si="60"/>
        <v>0</v>
      </c>
      <c r="M42" s="68">
        <f t="shared" si="60"/>
        <v>0</v>
      </c>
      <c r="N42" s="58"/>
      <c r="O42" s="63" t="s">
        <v>16</v>
      </c>
      <c r="P42" s="68">
        <f t="shared" ref="P42:T42" si="61">+I42*B42</f>
        <v>0</v>
      </c>
      <c r="Q42" s="68">
        <f t="shared" si="61"/>
        <v>0</v>
      </c>
      <c r="R42" s="68">
        <f t="shared" si="61"/>
        <v>0</v>
      </c>
      <c r="S42" s="68">
        <f t="shared" si="61"/>
        <v>0</v>
      </c>
      <c r="T42" s="68">
        <f t="shared" si="61"/>
        <v>0</v>
      </c>
      <c r="U42" s="58"/>
      <c r="V42" s="58"/>
      <c r="W42" s="58"/>
      <c r="X42" s="58"/>
      <c r="Y42" s="58"/>
      <c r="Z42" s="58"/>
    </row>
    <row r="43" spans="1:26" ht="15.75" customHeight="1" x14ac:dyDescent="0.25">
      <c r="A43" s="63" t="s">
        <v>17</v>
      </c>
      <c r="B43" s="66"/>
      <c r="C43" s="68"/>
      <c r="D43" s="66"/>
      <c r="E43" s="66"/>
      <c r="F43" s="66"/>
      <c r="G43" s="58"/>
      <c r="H43" s="63" t="s">
        <v>17</v>
      </c>
      <c r="I43" s="68">
        <f t="shared" ref="I43:M43" si="62">+I42</f>
        <v>44100</v>
      </c>
      <c r="J43" s="68">
        <f t="shared" si="62"/>
        <v>266175</v>
      </c>
      <c r="K43" s="68">
        <f t="shared" si="62"/>
        <v>380250</v>
      </c>
      <c r="L43" s="68">
        <f t="shared" si="62"/>
        <v>0</v>
      </c>
      <c r="M43" s="68">
        <f t="shared" si="62"/>
        <v>0</v>
      </c>
      <c r="N43" s="58"/>
      <c r="O43" s="63" t="s">
        <v>17</v>
      </c>
      <c r="P43" s="68">
        <f t="shared" ref="P43:T43" si="63">+I43*B43</f>
        <v>0</v>
      </c>
      <c r="Q43" s="68">
        <f t="shared" si="63"/>
        <v>0</v>
      </c>
      <c r="R43" s="68">
        <f t="shared" si="63"/>
        <v>0</v>
      </c>
      <c r="S43" s="68">
        <f t="shared" si="63"/>
        <v>0</v>
      </c>
      <c r="T43" s="68">
        <f t="shared" si="63"/>
        <v>0</v>
      </c>
      <c r="U43" s="58"/>
      <c r="V43" s="58"/>
      <c r="W43" s="58"/>
      <c r="X43" s="58"/>
      <c r="Y43" s="58"/>
      <c r="Z43" s="58"/>
    </row>
    <row r="44" spans="1:26" ht="15.75" customHeight="1" x14ac:dyDescent="0.25">
      <c r="A44" s="63" t="s">
        <v>18</v>
      </c>
      <c r="B44" s="66"/>
      <c r="C44" s="68"/>
      <c r="D44" s="66"/>
      <c r="E44" s="66"/>
      <c r="F44" s="66"/>
      <c r="G44" s="58"/>
      <c r="H44" s="63" t="s">
        <v>18</v>
      </c>
      <c r="I44" s="68">
        <f t="shared" ref="I44:M44" si="64">+I43</f>
        <v>44100</v>
      </c>
      <c r="J44" s="68">
        <f t="shared" si="64"/>
        <v>266175</v>
      </c>
      <c r="K44" s="68">
        <f t="shared" si="64"/>
        <v>380250</v>
      </c>
      <c r="L44" s="68">
        <f t="shared" si="64"/>
        <v>0</v>
      </c>
      <c r="M44" s="68">
        <f t="shared" si="64"/>
        <v>0</v>
      </c>
      <c r="N44" s="58"/>
      <c r="O44" s="63" t="s">
        <v>18</v>
      </c>
      <c r="P44" s="68">
        <f t="shared" ref="P44:T44" si="65">+I44*B44</f>
        <v>0</v>
      </c>
      <c r="Q44" s="68">
        <f t="shared" si="65"/>
        <v>0</v>
      </c>
      <c r="R44" s="68">
        <f t="shared" si="65"/>
        <v>0</v>
      </c>
      <c r="S44" s="68">
        <f t="shared" si="65"/>
        <v>0</v>
      </c>
      <c r="T44" s="68">
        <f t="shared" si="65"/>
        <v>0</v>
      </c>
      <c r="U44" s="58"/>
      <c r="V44" s="58"/>
      <c r="W44" s="58"/>
      <c r="X44" s="58"/>
      <c r="Y44" s="58"/>
      <c r="Z44" s="58"/>
    </row>
    <row r="45" spans="1:26" ht="15.75" customHeight="1" x14ac:dyDescent="0.3">
      <c r="A45" s="70" t="s">
        <v>48</v>
      </c>
      <c r="B45" s="72">
        <f t="shared" ref="B45:C45" si="66">+SUM(B33:B44)</f>
        <v>0</v>
      </c>
      <c r="C45" s="71">
        <f t="shared" si="66"/>
        <v>0</v>
      </c>
      <c r="D45" s="72"/>
      <c r="E45" s="72"/>
      <c r="F45" s="72">
        <f>+SUM(F33:F44)</f>
        <v>0</v>
      </c>
      <c r="G45" s="58"/>
      <c r="H45" s="70" t="s">
        <v>48</v>
      </c>
      <c r="I45" s="71"/>
      <c r="J45" s="71"/>
      <c r="K45" s="71"/>
      <c r="L45" s="71"/>
      <c r="M45" s="71"/>
      <c r="N45" s="58"/>
      <c r="O45" s="70" t="s">
        <v>48</v>
      </c>
      <c r="P45" s="71">
        <f t="shared" ref="P45:T45" si="67">+SUM(P33:P44)</f>
        <v>0</v>
      </c>
      <c r="Q45" s="71">
        <f t="shared" si="67"/>
        <v>0</v>
      </c>
      <c r="R45" s="71">
        <f t="shared" si="67"/>
        <v>0</v>
      </c>
      <c r="S45" s="71">
        <f t="shared" si="67"/>
        <v>0</v>
      </c>
      <c r="T45" s="71">
        <f t="shared" si="67"/>
        <v>0</v>
      </c>
      <c r="U45" s="58"/>
      <c r="V45" s="58"/>
      <c r="W45" s="58"/>
      <c r="X45" s="58"/>
      <c r="Y45" s="58"/>
      <c r="Z45" s="58"/>
    </row>
    <row r="46" spans="1:26" ht="15.75" customHeight="1" x14ac:dyDescent="0.3">
      <c r="A46" s="61" t="s">
        <v>51</v>
      </c>
      <c r="B46" s="66"/>
      <c r="C46" s="68"/>
      <c r="D46" s="66"/>
      <c r="E46" s="66"/>
      <c r="F46" s="66"/>
      <c r="G46" s="58"/>
      <c r="H46" s="61" t="s">
        <v>51</v>
      </c>
      <c r="I46" s="68"/>
      <c r="J46" s="68"/>
      <c r="K46" s="68"/>
      <c r="L46" s="68"/>
      <c r="M46" s="68"/>
      <c r="N46" s="58"/>
      <c r="O46" s="61" t="s">
        <v>51</v>
      </c>
      <c r="P46" s="68"/>
      <c r="Q46" s="68"/>
      <c r="R46" s="68"/>
      <c r="S46" s="68"/>
      <c r="T46" s="68"/>
      <c r="U46" s="58"/>
      <c r="V46" s="58"/>
      <c r="W46" s="58"/>
      <c r="X46" s="58"/>
      <c r="Y46" s="58"/>
      <c r="Z46" s="58"/>
    </row>
    <row r="47" spans="1:26" ht="15.75" customHeight="1" x14ac:dyDescent="0.25">
      <c r="A47" s="63" t="s">
        <v>7</v>
      </c>
      <c r="B47" s="66"/>
      <c r="C47" s="68"/>
      <c r="D47" s="66"/>
      <c r="E47" s="66"/>
      <c r="F47" s="66"/>
      <c r="G47" s="58"/>
      <c r="H47" s="63" t="s">
        <v>7</v>
      </c>
      <c r="I47" s="68">
        <f>+I44*1.05</f>
        <v>46305</v>
      </c>
      <c r="J47" s="68">
        <f t="shared" ref="J47:M47" si="68">+J44*1.95</f>
        <v>519041.25</v>
      </c>
      <c r="K47" s="68">
        <f t="shared" si="68"/>
        <v>741487.5</v>
      </c>
      <c r="L47" s="68">
        <f t="shared" si="68"/>
        <v>0</v>
      </c>
      <c r="M47" s="68">
        <f t="shared" si="68"/>
        <v>0</v>
      </c>
      <c r="N47" s="58"/>
      <c r="O47" s="63" t="s">
        <v>7</v>
      </c>
      <c r="P47" s="68">
        <f t="shared" ref="P47:T47" si="69">+I47*B47</f>
        <v>0</v>
      </c>
      <c r="Q47" s="68">
        <f t="shared" si="69"/>
        <v>0</v>
      </c>
      <c r="R47" s="68">
        <f t="shared" si="69"/>
        <v>0</v>
      </c>
      <c r="S47" s="68">
        <f t="shared" si="69"/>
        <v>0</v>
      </c>
      <c r="T47" s="68">
        <f t="shared" si="69"/>
        <v>0</v>
      </c>
      <c r="U47" s="58"/>
      <c r="V47" s="58"/>
      <c r="W47" s="58"/>
      <c r="X47" s="58"/>
      <c r="Y47" s="58"/>
      <c r="Z47" s="58"/>
    </row>
    <row r="48" spans="1:26" ht="15.75" customHeight="1" x14ac:dyDescent="0.25">
      <c r="A48" s="63" t="s">
        <v>8</v>
      </c>
      <c r="B48" s="66"/>
      <c r="C48" s="68"/>
      <c r="D48" s="66"/>
      <c r="E48" s="66"/>
      <c r="F48" s="66"/>
      <c r="G48" s="58"/>
      <c r="H48" s="63" t="s">
        <v>8</v>
      </c>
      <c r="I48" s="68">
        <f t="shared" ref="I48:M48" si="70">+I47</f>
        <v>46305</v>
      </c>
      <c r="J48" s="68">
        <f t="shared" si="70"/>
        <v>519041.25</v>
      </c>
      <c r="K48" s="68">
        <f t="shared" si="70"/>
        <v>741487.5</v>
      </c>
      <c r="L48" s="68">
        <f t="shared" si="70"/>
        <v>0</v>
      </c>
      <c r="M48" s="68">
        <f t="shared" si="70"/>
        <v>0</v>
      </c>
      <c r="N48" s="58"/>
      <c r="O48" s="63" t="s">
        <v>8</v>
      </c>
      <c r="P48" s="68">
        <f t="shared" ref="P48:T48" si="71">+I48*B48</f>
        <v>0</v>
      </c>
      <c r="Q48" s="68">
        <f t="shared" si="71"/>
        <v>0</v>
      </c>
      <c r="R48" s="68">
        <f t="shared" si="71"/>
        <v>0</v>
      </c>
      <c r="S48" s="68">
        <f t="shared" si="71"/>
        <v>0</v>
      </c>
      <c r="T48" s="68">
        <f t="shared" si="71"/>
        <v>0</v>
      </c>
      <c r="U48" s="58"/>
      <c r="V48" s="58"/>
      <c r="W48" s="58"/>
      <c r="X48" s="58"/>
      <c r="Y48" s="58"/>
      <c r="Z48" s="58"/>
    </row>
    <row r="49" spans="1:26" ht="15.75" customHeight="1" x14ac:dyDescent="0.25">
      <c r="A49" s="63" t="s">
        <v>9</v>
      </c>
      <c r="B49" s="66"/>
      <c r="C49" s="68"/>
      <c r="D49" s="66"/>
      <c r="E49" s="66"/>
      <c r="F49" s="66"/>
      <c r="G49" s="58"/>
      <c r="H49" s="63" t="s">
        <v>9</v>
      </c>
      <c r="I49" s="68">
        <f t="shared" ref="I49:M49" si="72">+I48</f>
        <v>46305</v>
      </c>
      <c r="J49" s="68">
        <f t="shared" si="72"/>
        <v>519041.25</v>
      </c>
      <c r="K49" s="68">
        <f t="shared" si="72"/>
        <v>741487.5</v>
      </c>
      <c r="L49" s="68">
        <f t="shared" si="72"/>
        <v>0</v>
      </c>
      <c r="M49" s="68">
        <f t="shared" si="72"/>
        <v>0</v>
      </c>
      <c r="N49" s="58"/>
      <c r="O49" s="63" t="s">
        <v>9</v>
      </c>
      <c r="P49" s="68">
        <f t="shared" ref="P49:T49" si="73">+I49*B49</f>
        <v>0</v>
      </c>
      <c r="Q49" s="68">
        <f t="shared" si="73"/>
        <v>0</v>
      </c>
      <c r="R49" s="68">
        <f t="shared" si="73"/>
        <v>0</v>
      </c>
      <c r="S49" s="68">
        <f t="shared" si="73"/>
        <v>0</v>
      </c>
      <c r="T49" s="68">
        <f t="shared" si="73"/>
        <v>0</v>
      </c>
      <c r="U49" s="58"/>
      <c r="V49" s="58"/>
      <c r="W49" s="58"/>
      <c r="X49" s="58"/>
      <c r="Y49" s="58"/>
      <c r="Z49" s="58"/>
    </row>
    <row r="50" spans="1:26" ht="15.75" customHeight="1" x14ac:dyDescent="0.25">
      <c r="A50" s="63" t="s">
        <v>10</v>
      </c>
      <c r="B50" s="66"/>
      <c r="C50" s="68"/>
      <c r="D50" s="66"/>
      <c r="E50" s="66"/>
      <c r="F50" s="66"/>
      <c r="G50" s="58"/>
      <c r="H50" s="63" t="s">
        <v>10</v>
      </c>
      <c r="I50" s="68">
        <f t="shared" ref="I50:M50" si="74">+I49</f>
        <v>46305</v>
      </c>
      <c r="J50" s="68">
        <f t="shared" si="74"/>
        <v>519041.25</v>
      </c>
      <c r="K50" s="68">
        <f t="shared" si="74"/>
        <v>741487.5</v>
      </c>
      <c r="L50" s="68">
        <f t="shared" si="74"/>
        <v>0</v>
      </c>
      <c r="M50" s="68">
        <f t="shared" si="74"/>
        <v>0</v>
      </c>
      <c r="N50" s="58"/>
      <c r="O50" s="63" t="s">
        <v>10</v>
      </c>
      <c r="P50" s="68">
        <f t="shared" ref="P50:T50" si="75">+I50*B50</f>
        <v>0</v>
      </c>
      <c r="Q50" s="68">
        <f t="shared" si="75"/>
        <v>0</v>
      </c>
      <c r="R50" s="68">
        <f t="shared" si="75"/>
        <v>0</v>
      </c>
      <c r="S50" s="68">
        <f t="shared" si="75"/>
        <v>0</v>
      </c>
      <c r="T50" s="68">
        <f t="shared" si="75"/>
        <v>0</v>
      </c>
      <c r="U50" s="58"/>
      <c r="V50" s="58"/>
      <c r="W50" s="58"/>
      <c r="X50" s="58"/>
      <c r="Y50" s="58"/>
      <c r="Z50" s="58"/>
    </row>
    <row r="51" spans="1:26" ht="15.75" customHeight="1" x14ac:dyDescent="0.25">
      <c r="A51" s="63" t="s">
        <v>11</v>
      </c>
      <c r="B51" s="66"/>
      <c r="C51" s="68"/>
      <c r="D51" s="66"/>
      <c r="E51" s="66"/>
      <c r="F51" s="66"/>
      <c r="G51" s="58"/>
      <c r="H51" s="63" t="s">
        <v>11</v>
      </c>
      <c r="I51" s="68">
        <f t="shared" ref="I51:M51" si="76">+I50</f>
        <v>46305</v>
      </c>
      <c r="J51" s="68">
        <f t="shared" si="76"/>
        <v>519041.25</v>
      </c>
      <c r="K51" s="68">
        <f t="shared" si="76"/>
        <v>741487.5</v>
      </c>
      <c r="L51" s="68">
        <f t="shared" si="76"/>
        <v>0</v>
      </c>
      <c r="M51" s="68">
        <f t="shared" si="76"/>
        <v>0</v>
      </c>
      <c r="N51" s="58"/>
      <c r="O51" s="63" t="s">
        <v>11</v>
      </c>
      <c r="P51" s="68">
        <f t="shared" ref="P51:T51" si="77">+I51*B51</f>
        <v>0</v>
      </c>
      <c r="Q51" s="68">
        <f t="shared" si="77"/>
        <v>0</v>
      </c>
      <c r="R51" s="68">
        <f t="shared" si="77"/>
        <v>0</v>
      </c>
      <c r="S51" s="68">
        <f t="shared" si="77"/>
        <v>0</v>
      </c>
      <c r="T51" s="68">
        <f t="shared" si="77"/>
        <v>0</v>
      </c>
      <c r="U51" s="58"/>
      <c r="V51" s="58"/>
      <c r="W51" s="58"/>
      <c r="X51" s="58"/>
      <c r="Y51" s="58"/>
      <c r="Z51" s="58"/>
    </row>
    <row r="52" spans="1:26" ht="15.75" customHeight="1" x14ac:dyDescent="0.25">
      <c r="A52" s="63" t="s">
        <v>12</v>
      </c>
      <c r="B52" s="66"/>
      <c r="C52" s="68"/>
      <c r="D52" s="66"/>
      <c r="E52" s="66"/>
      <c r="F52" s="66"/>
      <c r="G52" s="58"/>
      <c r="H52" s="63" t="s">
        <v>12</v>
      </c>
      <c r="I52" s="68">
        <f t="shared" ref="I52:M52" si="78">+I51</f>
        <v>46305</v>
      </c>
      <c r="J52" s="68">
        <f t="shared" si="78"/>
        <v>519041.25</v>
      </c>
      <c r="K52" s="68">
        <f t="shared" si="78"/>
        <v>741487.5</v>
      </c>
      <c r="L52" s="68">
        <f t="shared" si="78"/>
        <v>0</v>
      </c>
      <c r="M52" s="68">
        <f t="shared" si="78"/>
        <v>0</v>
      </c>
      <c r="N52" s="58"/>
      <c r="O52" s="63" t="s">
        <v>12</v>
      </c>
      <c r="P52" s="68">
        <f t="shared" ref="P52:T52" si="79">+I52*B52</f>
        <v>0</v>
      </c>
      <c r="Q52" s="68">
        <f t="shared" si="79"/>
        <v>0</v>
      </c>
      <c r="R52" s="68">
        <f t="shared" si="79"/>
        <v>0</v>
      </c>
      <c r="S52" s="68">
        <f t="shared" si="79"/>
        <v>0</v>
      </c>
      <c r="T52" s="68">
        <f t="shared" si="79"/>
        <v>0</v>
      </c>
      <c r="U52" s="58"/>
      <c r="V52" s="58"/>
      <c r="W52" s="58"/>
      <c r="X52" s="58"/>
      <c r="Y52" s="58"/>
      <c r="Z52" s="58"/>
    </row>
    <row r="53" spans="1:26" ht="15.75" customHeight="1" x14ac:dyDescent="0.25">
      <c r="A53" s="63" t="s">
        <v>13</v>
      </c>
      <c r="B53" s="66"/>
      <c r="C53" s="68"/>
      <c r="D53" s="66"/>
      <c r="E53" s="66"/>
      <c r="F53" s="66"/>
      <c r="G53" s="58"/>
      <c r="H53" s="63" t="s">
        <v>13</v>
      </c>
      <c r="I53" s="68">
        <f t="shared" ref="I53:M53" si="80">+I52</f>
        <v>46305</v>
      </c>
      <c r="J53" s="68">
        <f t="shared" si="80"/>
        <v>519041.25</v>
      </c>
      <c r="K53" s="68">
        <f t="shared" si="80"/>
        <v>741487.5</v>
      </c>
      <c r="L53" s="68">
        <f t="shared" si="80"/>
        <v>0</v>
      </c>
      <c r="M53" s="68">
        <f t="shared" si="80"/>
        <v>0</v>
      </c>
      <c r="N53" s="58"/>
      <c r="O53" s="63" t="s">
        <v>13</v>
      </c>
      <c r="P53" s="68">
        <f t="shared" ref="P53:T53" si="81">+I53*B53</f>
        <v>0</v>
      </c>
      <c r="Q53" s="68">
        <f t="shared" si="81"/>
        <v>0</v>
      </c>
      <c r="R53" s="68">
        <f t="shared" si="81"/>
        <v>0</v>
      </c>
      <c r="S53" s="68">
        <f t="shared" si="81"/>
        <v>0</v>
      </c>
      <c r="T53" s="68">
        <f t="shared" si="81"/>
        <v>0</v>
      </c>
      <c r="U53" s="58"/>
      <c r="V53" s="58"/>
      <c r="W53" s="58"/>
      <c r="X53" s="58"/>
      <c r="Y53" s="58"/>
      <c r="Z53" s="58"/>
    </row>
    <row r="54" spans="1:26" ht="15.75" customHeight="1" x14ac:dyDescent="0.25">
      <c r="A54" s="63" t="s">
        <v>14</v>
      </c>
      <c r="B54" s="66"/>
      <c r="C54" s="68"/>
      <c r="D54" s="66"/>
      <c r="E54" s="66"/>
      <c r="F54" s="66"/>
      <c r="G54" s="58"/>
      <c r="H54" s="63" t="s">
        <v>14</v>
      </c>
      <c r="I54" s="68">
        <f t="shared" ref="I54:M54" si="82">+I53</f>
        <v>46305</v>
      </c>
      <c r="J54" s="68">
        <f t="shared" si="82"/>
        <v>519041.25</v>
      </c>
      <c r="K54" s="68">
        <f t="shared" si="82"/>
        <v>741487.5</v>
      </c>
      <c r="L54" s="68">
        <f t="shared" si="82"/>
        <v>0</v>
      </c>
      <c r="M54" s="68">
        <f t="shared" si="82"/>
        <v>0</v>
      </c>
      <c r="N54" s="58"/>
      <c r="O54" s="63" t="s">
        <v>14</v>
      </c>
      <c r="P54" s="68">
        <f t="shared" ref="P54:T54" si="83">+I54*B54</f>
        <v>0</v>
      </c>
      <c r="Q54" s="68">
        <f t="shared" si="83"/>
        <v>0</v>
      </c>
      <c r="R54" s="68">
        <f t="shared" si="83"/>
        <v>0</v>
      </c>
      <c r="S54" s="68">
        <f t="shared" si="83"/>
        <v>0</v>
      </c>
      <c r="T54" s="68">
        <f t="shared" si="83"/>
        <v>0</v>
      </c>
      <c r="U54" s="58"/>
      <c r="V54" s="58"/>
      <c r="W54" s="58"/>
      <c r="X54" s="58"/>
      <c r="Y54" s="58"/>
      <c r="Z54" s="58"/>
    </row>
    <row r="55" spans="1:26" ht="15.75" customHeight="1" x14ac:dyDescent="0.25">
      <c r="A55" s="63" t="s">
        <v>15</v>
      </c>
      <c r="B55" s="66"/>
      <c r="C55" s="68"/>
      <c r="D55" s="66"/>
      <c r="E55" s="66"/>
      <c r="F55" s="66"/>
      <c r="G55" s="58"/>
      <c r="H55" s="63" t="s">
        <v>15</v>
      </c>
      <c r="I55" s="68">
        <f t="shared" ref="I55:M55" si="84">+I54</f>
        <v>46305</v>
      </c>
      <c r="J55" s="68">
        <f t="shared" si="84"/>
        <v>519041.25</v>
      </c>
      <c r="K55" s="68">
        <f t="shared" si="84"/>
        <v>741487.5</v>
      </c>
      <c r="L55" s="68">
        <f t="shared" si="84"/>
        <v>0</v>
      </c>
      <c r="M55" s="68">
        <f t="shared" si="84"/>
        <v>0</v>
      </c>
      <c r="N55" s="58"/>
      <c r="O55" s="63" t="s">
        <v>15</v>
      </c>
      <c r="P55" s="68">
        <f t="shared" ref="P55:T55" si="85">+I55*B55</f>
        <v>0</v>
      </c>
      <c r="Q55" s="68">
        <f t="shared" si="85"/>
        <v>0</v>
      </c>
      <c r="R55" s="68">
        <f t="shared" si="85"/>
        <v>0</v>
      </c>
      <c r="S55" s="68">
        <f t="shared" si="85"/>
        <v>0</v>
      </c>
      <c r="T55" s="68">
        <f t="shared" si="85"/>
        <v>0</v>
      </c>
      <c r="U55" s="58"/>
      <c r="V55" s="58"/>
      <c r="W55" s="58"/>
      <c r="X55" s="58"/>
      <c r="Y55" s="58"/>
      <c r="Z55" s="58"/>
    </row>
    <row r="56" spans="1:26" ht="15.75" customHeight="1" x14ac:dyDescent="0.25">
      <c r="A56" s="63" t="s">
        <v>16</v>
      </c>
      <c r="B56" s="66"/>
      <c r="C56" s="68"/>
      <c r="D56" s="66"/>
      <c r="E56" s="66"/>
      <c r="F56" s="66"/>
      <c r="G56" s="58"/>
      <c r="H56" s="63" t="s">
        <v>16</v>
      </c>
      <c r="I56" s="68">
        <f t="shared" ref="I56:M56" si="86">+I55</f>
        <v>46305</v>
      </c>
      <c r="J56" s="68">
        <f t="shared" si="86"/>
        <v>519041.25</v>
      </c>
      <c r="K56" s="68">
        <f t="shared" si="86"/>
        <v>741487.5</v>
      </c>
      <c r="L56" s="68">
        <f t="shared" si="86"/>
        <v>0</v>
      </c>
      <c r="M56" s="68">
        <f t="shared" si="86"/>
        <v>0</v>
      </c>
      <c r="N56" s="58"/>
      <c r="O56" s="63" t="s">
        <v>16</v>
      </c>
      <c r="P56" s="68">
        <f t="shared" ref="P56:T56" si="87">+I56*B56</f>
        <v>0</v>
      </c>
      <c r="Q56" s="68">
        <f t="shared" si="87"/>
        <v>0</v>
      </c>
      <c r="R56" s="68">
        <f t="shared" si="87"/>
        <v>0</v>
      </c>
      <c r="S56" s="68">
        <f t="shared" si="87"/>
        <v>0</v>
      </c>
      <c r="T56" s="68">
        <f t="shared" si="87"/>
        <v>0</v>
      </c>
      <c r="U56" s="58"/>
      <c r="V56" s="58"/>
      <c r="W56" s="58"/>
      <c r="X56" s="58"/>
      <c r="Y56" s="58"/>
      <c r="Z56" s="58"/>
    </row>
    <row r="57" spans="1:26" ht="15.75" customHeight="1" x14ac:dyDescent="0.25">
      <c r="A57" s="63" t="s">
        <v>17</v>
      </c>
      <c r="B57" s="66"/>
      <c r="C57" s="68"/>
      <c r="D57" s="66"/>
      <c r="E57" s="66"/>
      <c r="F57" s="66"/>
      <c r="G57" s="58"/>
      <c r="H57" s="63" t="s">
        <v>17</v>
      </c>
      <c r="I57" s="68">
        <f t="shared" ref="I57:M57" si="88">+I56</f>
        <v>46305</v>
      </c>
      <c r="J57" s="68">
        <f t="shared" si="88"/>
        <v>519041.25</v>
      </c>
      <c r="K57" s="68">
        <f t="shared" si="88"/>
        <v>741487.5</v>
      </c>
      <c r="L57" s="68">
        <f t="shared" si="88"/>
        <v>0</v>
      </c>
      <c r="M57" s="68">
        <f t="shared" si="88"/>
        <v>0</v>
      </c>
      <c r="N57" s="58"/>
      <c r="O57" s="63" t="s">
        <v>17</v>
      </c>
      <c r="P57" s="68">
        <f t="shared" ref="P57:T57" si="89">+I57*B57</f>
        <v>0</v>
      </c>
      <c r="Q57" s="68">
        <f t="shared" si="89"/>
        <v>0</v>
      </c>
      <c r="R57" s="68">
        <f t="shared" si="89"/>
        <v>0</v>
      </c>
      <c r="S57" s="68">
        <f t="shared" si="89"/>
        <v>0</v>
      </c>
      <c r="T57" s="68">
        <f t="shared" si="89"/>
        <v>0</v>
      </c>
      <c r="U57" s="58"/>
      <c r="V57" s="58"/>
      <c r="W57" s="58"/>
      <c r="X57" s="58"/>
      <c r="Y57" s="58"/>
      <c r="Z57" s="58"/>
    </row>
    <row r="58" spans="1:26" ht="15.75" customHeight="1" x14ac:dyDescent="0.25">
      <c r="A58" s="63" t="s">
        <v>18</v>
      </c>
      <c r="B58" s="66"/>
      <c r="C58" s="68"/>
      <c r="D58" s="66"/>
      <c r="E58" s="66"/>
      <c r="F58" s="66"/>
      <c r="G58" s="58"/>
      <c r="H58" s="63" t="s">
        <v>18</v>
      </c>
      <c r="I58" s="68">
        <f t="shared" ref="I58:M58" si="90">+I57</f>
        <v>46305</v>
      </c>
      <c r="J58" s="68">
        <f t="shared" si="90"/>
        <v>519041.25</v>
      </c>
      <c r="K58" s="68">
        <f t="shared" si="90"/>
        <v>741487.5</v>
      </c>
      <c r="L58" s="68">
        <f t="shared" si="90"/>
        <v>0</v>
      </c>
      <c r="M58" s="68">
        <f t="shared" si="90"/>
        <v>0</v>
      </c>
      <c r="N58" s="58"/>
      <c r="O58" s="63" t="s">
        <v>18</v>
      </c>
      <c r="P58" s="68">
        <f t="shared" ref="P58:T58" si="91">+I58*B58</f>
        <v>0</v>
      </c>
      <c r="Q58" s="68">
        <f t="shared" si="91"/>
        <v>0</v>
      </c>
      <c r="R58" s="68">
        <f t="shared" si="91"/>
        <v>0</v>
      </c>
      <c r="S58" s="68">
        <f t="shared" si="91"/>
        <v>0</v>
      </c>
      <c r="T58" s="68">
        <f t="shared" si="91"/>
        <v>0</v>
      </c>
      <c r="U58" s="58"/>
      <c r="V58" s="58"/>
      <c r="W58" s="58"/>
      <c r="X58" s="58"/>
      <c r="Y58" s="58"/>
      <c r="Z58" s="58"/>
    </row>
    <row r="59" spans="1:26" ht="15.75" customHeight="1" x14ac:dyDescent="0.3">
      <c r="A59" s="70" t="s">
        <v>48</v>
      </c>
      <c r="B59" s="72">
        <f t="shared" ref="B59:C59" si="92">+SUM(B47:B58)</f>
        <v>0</v>
      </c>
      <c r="C59" s="71">
        <f t="shared" si="92"/>
        <v>0</v>
      </c>
      <c r="D59" s="72"/>
      <c r="E59" s="72"/>
      <c r="F59" s="72">
        <f>+SUM(F47:F58)</f>
        <v>0</v>
      </c>
      <c r="G59" s="58"/>
      <c r="H59" s="70" t="s">
        <v>48</v>
      </c>
      <c r="I59" s="71"/>
      <c r="J59" s="71"/>
      <c r="K59" s="71"/>
      <c r="L59" s="71"/>
      <c r="M59" s="71"/>
      <c r="N59" s="58"/>
      <c r="O59" s="70" t="s">
        <v>48</v>
      </c>
      <c r="P59" s="71">
        <f t="shared" ref="P59:T59" si="93">+SUM(P47:P58)</f>
        <v>0</v>
      </c>
      <c r="Q59" s="71">
        <f t="shared" si="93"/>
        <v>0</v>
      </c>
      <c r="R59" s="71">
        <f t="shared" si="93"/>
        <v>0</v>
      </c>
      <c r="S59" s="71">
        <f t="shared" si="93"/>
        <v>0</v>
      </c>
      <c r="T59" s="71">
        <f t="shared" si="93"/>
        <v>0</v>
      </c>
      <c r="U59" s="58"/>
      <c r="V59" s="58"/>
      <c r="W59" s="58"/>
      <c r="X59" s="58"/>
      <c r="Y59" s="58"/>
      <c r="Z59" s="58"/>
    </row>
    <row r="60" spans="1:26" ht="15.75" customHeight="1" x14ac:dyDescent="0.3">
      <c r="A60" s="61" t="s">
        <v>52</v>
      </c>
      <c r="B60" s="66"/>
      <c r="C60" s="68"/>
      <c r="D60" s="66"/>
      <c r="E60" s="66"/>
      <c r="F60" s="66"/>
      <c r="G60" s="58"/>
      <c r="H60" s="61" t="s">
        <v>52</v>
      </c>
      <c r="I60" s="68"/>
      <c r="J60" s="68"/>
      <c r="K60" s="68"/>
      <c r="L60" s="68"/>
      <c r="M60" s="68"/>
      <c r="N60" s="58"/>
      <c r="O60" s="61" t="s">
        <v>52</v>
      </c>
      <c r="P60" s="68"/>
      <c r="Q60" s="68"/>
      <c r="R60" s="68"/>
      <c r="S60" s="68"/>
      <c r="T60" s="68"/>
      <c r="U60" s="58"/>
      <c r="V60" s="58"/>
      <c r="W60" s="58"/>
      <c r="X60" s="58"/>
      <c r="Y60" s="58"/>
      <c r="Z60" s="58"/>
    </row>
    <row r="61" spans="1:26" ht="15.75" customHeight="1" x14ac:dyDescent="0.25">
      <c r="A61" s="63" t="s">
        <v>7</v>
      </c>
      <c r="B61" s="66"/>
      <c r="C61" s="68"/>
      <c r="D61" s="66"/>
      <c r="E61" s="66"/>
      <c r="F61" s="66"/>
      <c r="G61" s="58"/>
      <c r="H61" s="63" t="s">
        <v>7</v>
      </c>
      <c r="I61" s="68">
        <f>+I58*1.05</f>
        <v>48620.25</v>
      </c>
      <c r="J61" s="68">
        <f t="shared" ref="J61:M61" si="94">+J58*1.95</f>
        <v>1012130.4375</v>
      </c>
      <c r="K61" s="68">
        <f t="shared" si="94"/>
        <v>1445900.625</v>
      </c>
      <c r="L61" s="68">
        <f t="shared" si="94"/>
        <v>0</v>
      </c>
      <c r="M61" s="68">
        <f t="shared" si="94"/>
        <v>0</v>
      </c>
      <c r="N61" s="58"/>
      <c r="O61" s="63" t="s">
        <v>7</v>
      </c>
      <c r="P61" s="68">
        <f t="shared" ref="P61:T61" si="95">+I61*B61</f>
        <v>0</v>
      </c>
      <c r="Q61" s="68">
        <f t="shared" si="95"/>
        <v>0</v>
      </c>
      <c r="R61" s="68">
        <f t="shared" si="95"/>
        <v>0</v>
      </c>
      <c r="S61" s="68">
        <f t="shared" si="95"/>
        <v>0</v>
      </c>
      <c r="T61" s="68">
        <f t="shared" si="95"/>
        <v>0</v>
      </c>
      <c r="U61" s="58"/>
      <c r="V61" s="58"/>
      <c r="W61" s="58"/>
      <c r="X61" s="58"/>
      <c r="Y61" s="58"/>
      <c r="Z61" s="58"/>
    </row>
    <row r="62" spans="1:26" ht="15.75" customHeight="1" x14ac:dyDescent="0.25">
      <c r="A62" s="63" t="s">
        <v>8</v>
      </c>
      <c r="B62" s="66"/>
      <c r="C62" s="68"/>
      <c r="D62" s="66"/>
      <c r="E62" s="66"/>
      <c r="F62" s="66"/>
      <c r="G62" s="58"/>
      <c r="H62" s="63" t="s">
        <v>8</v>
      </c>
      <c r="I62" s="68">
        <f t="shared" ref="I62:M62" si="96">+I61</f>
        <v>48620.25</v>
      </c>
      <c r="J62" s="68">
        <f t="shared" si="96"/>
        <v>1012130.4375</v>
      </c>
      <c r="K62" s="68">
        <f t="shared" si="96"/>
        <v>1445900.625</v>
      </c>
      <c r="L62" s="68">
        <f t="shared" si="96"/>
        <v>0</v>
      </c>
      <c r="M62" s="68">
        <f t="shared" si="96"/>
        <v>0</v>
      </c>
      <c r="N62" s="58"/>
      <c r="O62" s="63" t="s">
        <v>8</v>
      </c>
      <c r="P62" s="68">
        <f t="shared" ref="P62:T62" si="97">+I62*B62</f>
        <v>0</v>
      </c>
      <c r="Q62" s="68">
        <f t="shared" si="97"/>
        <v>0</v>
      </c>
      <c r="R62" s="68">
        <f t="shared" si="97"/>
        <v>0</v>
      </c>
      <c r="S62" s="68">
        <f t="shared" si="97"/>
        <v>0</v>
      </c>
      <c r="T62" s="68">
        <f t="shared" si="97"/>
        <v>0</v>
      </c>
      <c r="U62" s="58"/>
      <c r="V62" s="58"/>
      <c r="W62" s="58"/>
      <c r="X62" s="58"/>
      <c r="Y62" s="58"/>
      <c r="Z62" s="58"/>
    </row>
    <row r="63" spans="1:26" ht="15.75" customHeight="1" x14ac:dyDescent="0.25">
      <c r="A63" s="63" t="s">
        <v>9</v>
      </c>
      <c r="B63" s="66"/>
      <c r="C63" s="68"/>
      <c r="D63" s="66"/>
      <c r="E63" s="66"/>
      <c r="F63" s="66"/>
      <c r="G63" s="58"/>
      <c r="H63" s="63" t="s">
        <v>9</v>
      </c>
      <c r="I63" s="68">
        <f t="shared" ref="I63:M63" si="98">+I62</f>
        <v>48620.25</v>
      </c>
      <c r="J63" s="68">
        <f t="shared" si="98"/>
        <v>1012130.4375</v>
      </c>
      <c r="K63" s="68">
        <f t="shared" si="98"/>
        <v>1445900.625</v>
      </c>
      <c r="L63" s="68">
        <f t="shared" si="98"/>
        <v>0</v>
      </c>
      <c r="M63" s="68">
        <f t="shared" si="98"/>
        <v>0</v>
      </c>
      <c r="N63" s="58"/>
      <c r="O63" s="63" t="s">
        <v>9</v>
      </c>
      <c r="P63" s="68">
        <f t="shared" ref="P63:T63" si="99">+I63*B63</f>
        <v>0</v>
      </c>
      <c r="Q63" s="68">
        <f t="shared" si="99"/>
        <v>0</v>
      </c>
      <c r="R63" s="68">
        <f t="shared" si="99"/>
        <v>0</v>
      </c>
      <c r="S63" s="68">
        <f t="shared" si="99"/>
        <v>0</v>
      </c>
      <c r="T63" s="68">
        <f t="shared" si="99"/>
        <v>0</v>
      </c>
      <c r="U63" s="58"/>
      <c r="V63" s="58"/>
      <c r="W63" s="58"/>
      <c r="X63" s="58"/>
      <c r="Y63" s="58"/>
      <c r="Z63" s="58"/>
    </row>
    <row r="64" spans="1:26" ht="15.75" customHeight="1" x14ac:dyDescent="0.25">
      <c r="A64" s="63" t="s">
        <v>10</v>
      </c>
      <c r="B64" s="66"/>
      <c r="C64" s="68"/>
      <c r="D64" s="66"/>
      <c r="E64" s="66"/>
      <c r="F64" s="66"/>
      <c r="G64" s="58"/>
      <c r="H64" s="63" t="s">
        <v>10</v>
      </c>
      <c r="I64" s="68">
        <f t="shared" ref="I64:M64" si="100">+I63</f>
        <v>48620.25</v>
      </c>
      <c r="J64" s="68">
        <f t="shared" si="100"/>
        <v>1012130.4375</v>
      </c>
      <c r="K64" s="68">
        <f t="shared" si="100"/>
        <v>1445900.625</v>
      </c>
      <c r="L64" s="68">
        <f t="shared" si="100"/>
        <v>0</v>
      </c>
      <c r="M64" s="68">
        <f t="shared" si="100"/>
        <v>0</v>
      </c>
      <c r="N64" s="58"/>
      <c r="O64" s="63" t="s">
        <v>10</v>
      </c>
      <c r="P64" s="68">
        <f t="shared" ref="P64:T64" si="101">+I64*B64</f>
        <v>0</v>
      </c>
      <c r="Q64" s="68">
        <f t="shared" si="101"/>
        <v>0</v>
      </c>
      <c r="R64" s="68">
        <f t="shared" si="101"/>
        <v>0</v>
      </c>
      <c r="S64" s="68">
        <f t="shared" si="101"/>
        <v>0</v>
      </c>
      <c r="T64" s="68">
        <f t="shared" si="101"/>
        <v>0</v>
      </c>
      <c r="U64" s="58"/>
      <c r="V64" s="58"/>
      <c r="W64" s="58"/>
      <c r="X64" s="58"/>
      <c r="Y64" s="58"/>
      <c r="Z64" s="58"/>
    </row>
    <row r="65" spans="1:26" ht="15.75" customHeight="1" x14ac:dyDescent="0.25">
      <c r="A65" s="63" t="s">
        <v>11</v>
      </c>
      <c r="B65" s="66"/>
      <c r="C65" s="68"/>
      <c r="D65" s="66"/>
      <c r="E65" s="66"/>
      <c r="F65" s="66"/>
      <c r="G65" s="58"/>
      <c r="H65" s="63" t="s">
        <v>11</v>
      </c>
      <c r="I65" s="68">
        <f t="shared" ref="I65:M65" si="102">+I64</f>
        <v>48620.25</v>
      </c>
      <c r="J65" s="68">
        <f t="shared" si="102"/>
        <v>1012130.4375</v>
      </c>
      <c r="K65" s="68">
        <f t="shared" si="102"/>
        <v>1445900.625</v>
      </c>
      <c r="L65" s="68">
        <f t="shared" si="102"/>
        <v>0</v>
      </c>
      <c r="M65" s="68">
        <f t="shared" si="102"/>
        <v>0</v>
      </c>
      <c r="N65" s="58"/>
      <c r="O65" s="63" t="s">
        <v>11</v>
      </c>
      <c r="P65" s="68">
        <f t="shared" ref="P65:T65" si="103">+I65*B65</f>
        <v>0</v>
      </c>
      <c r="Q65" s="68">
        <f t="shared" si="103"/>
        <v>0</v>
      </c>
      <c r="R65" s="68">
        <f t="shared" si="103"/>
        <v>0</v>
      </c>
      <c r="S65" s="68">
        <f t="shared" si="103"/>
        <v>0</v>
      </c>
      <c r="T65" s="68">
        <f t="shared" si="103"/>
        <v>0</v>
      </c>
      <c r="U65" s="58"/>
      <c r="V65" s="58"/>
      <c r="W65" s="58"/>
      <c r="X65" s="58"/>
      <c r="Y65" s="58"/>
      <c r="Z65" s="58"/>
    </row>
    <row r="66" spans="1:26" ht="15.75" customHeight="1" x14ac:dyDescent="0.25">
      <c r="A66" s="63" t="s">
        <v>12</v>
      </c>
      <c r="B66" s="66"/>
      <c r="C66" s="68"/>
      <c r="D66" s="66"/>
      <c r="E66" s="66"/>
      <c r="F66" s="66"/>
      <c r="G66" s="58"/>
      <c r="H66" s="63" t="s">
        <v>12</v>
      </c>
      <c r="I66" s="68">
        <f t="shared" ref="I66:M66" si="104">+I65</f>
        <v>48620.25</v>
      </c>
      <c r="J66" s="68">
        <f t="shared" si="104"/>
        <v>1012130.4375</v>
      </c>
      <c r="K66" s="68">
        <f t="shared" si="104"/>
        <v>1445900.625</v>
      </c>
      <c r="L66" s="68">
        <f t="shared" si="104"/>
        <v>0</v>
      </c>
      <c r="M66" s="68">
        <f t="shared" si="104"/>
        <v>0</v>
      </c>
      <c r="N66" s="58"/>
      <c r="O66" s="63" t="s">
        <v>12</v>
      </c>
      <c r="P66" s="68">
        <f t="shared" ref="P66:T66" si="105">+I66*B66</f>
        <v>0</v>
      </c>
      <c r="Q66" s="68">
        <f t="shared" si="105"/>
        <v>0</v>
      </c>
      <c r="R66" s="68">
        <f t="shared" si="105"/>
        <v>0</v>
      </c>
      <c r="S66" s="68">
        <f t="shared" si="105"/>
        <v>0</v>
      </c>
      <c r="T66" s="68">
        <f t="shared" si="105"/>
        <v>0</v>
      </c>
      <c r="U66" s="58"/>
      <c r="V66" s="58"/>
      <c r="W66" s="58"/>
      <c r="X66" s="58"/>
      <c r="Y66" s="58"/>
      <c r="Z66" s="58"/>
    </row>
    <row r="67" spans="1:26" ht="15.75" customHeight="1" x14ac:dyDescent="0.25">
      <c r="A67" s="63" t="s">
        <v>13</v>
      </c>
      <c r="B67" s="66"/>
      <c r="C67" s="68"/>
      <c r="D67" s="66"/>
      <c r="E67" s="66"/>
      <c r="F67" s="66"/>
      <c r="G67" s="58"/>
      <c r="H67" s="63" t="s">
        <v>13</v>
      </c>
      <c r="I67" s="68">
        <f t="shared" ref="I67:M67" si="106">+I66</f>
        <v>48620.25</v>
      </c>
      <c r="J67" s="68">
        <f t="shared" si="106"/>
        <v>1012130.4375</v>
      </c>
      <c r="K67" s="68">
        <f t="shared" si="106"/>
        <v>1445900.625</v>
      </c>
      <c r="L67" s="68">
        <f t="shared" si="106"/>
        <v>0</v>
      </c>
      <c r="M67" s="68">
        <f t="shared" si="106"/>
        <v>0</v>
      </c>
      <c r="N67" s="58"/>
      <c r="O67" s="63" t="s">
        <v>13</v>
      </c>
      <c r="P67" s="68">
        <f t="shared" ref="P67:T67" si="107">+I67*B67</f>
        <v>0</v>
      </c>
      <c r="Q67" s="68">
        <f t="shared" si="107"/>
        <v>0</v>
      </c>
      <c r="R67" s="68">
        <f t="shared" si="107"/>
        <v>0</v>
      </c>
      <c r="S67" s="68">
        <f t="shared" si="107"/>
        <v>0</v>
      </c>
      <c r="T67" s="68">
        <f t="shared" si="107"/>
        <v>0</v>
      </c>
      <c r="U67" s="58"/>
      <c r="V67" s="58"/>
      <c r="W67" s="58"/>
      <c r="X67" s="58"/>
      <c r="Y67" s="58"/>
      <c r="Z67" s="58"/>
    </row>
    <row r="68" spans="1:26" ht="15.75" customHeight="1" x14ac:dyDescent="0.25">
      <c r="A68" s="63" t="s">
        <v>14</v>
      </c>
      <c r="B68" s="66"/>
      <c r="C68" s="68"/>
      <c r="D68" s="66"/>
      <c r="E68" s="66"/>
      <c r="F68" s="66"/>
      <c r="G68" s="58"/>
      <c r="H68" s="63" t="s">
        <v>14</v>
      </c>
      <c r="I68" s="68">
        <f t="shared" ref="I68:M68" si="108">+I67</f>
        <v>48620.25</v>
      </c>
      <c r="J68" s="68">
        <f t="shared" si="108"/>
        <v>1012130.4375</v>
      </c>
      <c r="K68" s="68">
        <f t="shared" si="108"/>
        <v>1445900.625</v>
      </c>
      <c r="L68" s="68">
        <f t="shared" si="108"/>
        <v>0</v>
      </c>
      <c r="M68" s="68">
        <f t="shared" si="108"/>
        <v>0</v>
      </c>
      <c r="N68" s="58"/>
      <c r="O68" s="63" t="s">
        <v>14</v>
      </c>
      <c r="P68" s="68">
        <f t="shared" ref="P68:T68" si="109">+I68*B68</f>
        <v>0</v>
      </c>
      <c r="Q68" s="68">
        <f t="shared" si="109"/>
        <v>0</v>
      </c>
      <c r="R68" s="68">
        <f t="shared" si="109"/>
        <v>0</v>
      </c>
      <c r="S68" s="68">
        <f t="shared" si="109"/>
        <v>0</v>
      </c>
      <c r="T68" s="68">
        <f t="shared" si="109"/>
        <v>0</v>
      </c>
      <c r="U68" s="58"/>
      <c r="V68" s="58"/>
      <c r="W68" s="58"/>
      <c r="X68" s="58"/>
      <c r="Y68" s="58"/>
      <c r="Z68" s="58"/>
    </row>
    <row r="69" spans="1:26" ht="15.75" customHeight="1" x14ac:dyDescent="0.25">
      <c r="A69" s="63" t="s">
        <v>15</v>
      </c>
      <c r="B69" s="66"/>
      <c r="C69" s="68"/>
      <c r="D69" s="66"/>
      <c r="E69" s="66"/>
      <c r="F69" s="66"/>
      <c r="G69" s="58"/>
      <c r="H69" s="63" t="s">
        <v>15</v>
      </c>
      <c r="I69" s="68">
        <f t="shared" ref="I69:M69" si="110">+I68</f>
        <v>48620.25</v>
      </c>
      <c r="J69" s="68">
        <f t="shared" si="110"/>
        <v>1012130.4375</v>
      </c>
      <c r="K69" s="68">
        <f t="shared" si="110"/>
        <v>1445900.625</v>
      </c>
      <c r="L69" s="68">
        <f t="shared" si="110"/>
        <v>0</v>
      </c>
      <c r="M69" s="68">
        <f t="shared" si="110"/>
        <v>0</v>
      </c>
      <c r="N69" s="58"/>
      <c r="O69" s="63" t="s">
        <v>15</v>
      </c>
      <c r="P69" s="68">
        <f t="shared" ref="P69:T69" si="111">+I69*B69</f>
        <v>0</v>
      </c>
      <c r="Q69" s="68">
        <f t="shared" si="111"/>
        <v>0</v>
      </c>
      <c r="R69" s="68">
        <f t="shared" si="111"/>
        <v>0</v>
      </c>
      <c r="S69" s="68">
        <f t="shared" si="111"/>
        <v>0</v>
      </c>
      <c r="T69" s="68">
        <f t="shared" si="111"/>
        <v>0</v>
      </c>
      <c r="U69" s="58"/>
      <c r="V69" s="58"/>
      <c r="W69" s="58"/>
      <c r="X69" s="58"/>
      <c r="Y69" s="58"/>
      <c r="Z69" s="58"/>
    </row>
    <row r="70" spans="1:26" ht="15.75" customHeight="1" x14ac:dyDescent="0.25">
      <c r="A70" s="63" t="s">
        <v>16</v>
      </c>
      <c r="B70" s="66"/>
      <c r="C70" s="68"/>
      <c r="D70" s="66"/>
      <c r="E70" s="66"/>
      <c r="F70" s="66"/>
      <c r="G70" s="58"/>
      <c r="H70" s="63" t="s">
        <v>16</v>
      </c>
      <c r="I70" s="68">
        <f t="shared" ref="I70:M70" si="112">+I69</f>
        <v>48620.25</v>
      </c>
      <c r="J70" s="68">
        <f t="shared" si="112"/>
        <v>1012130.4375</v>
      </c>
      <c r="K70" s="68">
        <f t="shared" si="112"/>
        <v>1445900.625</v>
      </c>
      <c r="L70" s="68">
        <f t="shared" si="112"/>
        <v>0</v>
      </c>
      <c r="M70" s="68">
        <f t="shared" si="112"/>
        <v>0</v>
      </c>
      <c r="N70" s="58"/>
      <c r="O70" s="63" t="s">
        <v>16</v>
      </c>
      <c r="P70" s="68">
        <f t="shared" ref="P70:T70" si="113">+I70*B70</f>
        <v>0</v>
      </c>
      <c r="Q70" s="68">
        <f t="shared" si="113"/>
        <v>0</v>
      </c>
      <c r="R70" s="68">
        <f t="shared" si="113"/>
        <v>0</v>
      </c>
      <c r="S70" s="68">
        <f t="shared" si="113"/>
        <v>0</v>
      </c>
      <c r="T70" s="68">
        <f t="shared" si="113"/>
        <v>0</v>
      </c>
      <c r="U70" s="58"/>
      <c r="V70" s="58"/>
      <c r="W70" s="58"/>
      <c r="X70" s="58"/>
      <c r="Y70" s="58"/>
      <c r="Z70" s="58"/>
    </row>
    <row r="71" spans="1:26" ht="15.75" customHeight="1" x14ac:dyDescent="0.25">
      <c r="A71" s="63" t="s">
        <v>17</v>
      </c>
      <c r="B71" s="66"/>
      <c r="C71" s="68"/>
      <c r="D71" s="66"/>
      <c r="E71" s="66"/>
      <c r="F71" s="66"/>
      <c r="G71" s="58"/>
      <c r="H71" s="63" t="s">
        <v>17</v>
      </c>
      <c r="I71" s="68">
        <f t="shared" ref="I71:M71" si="114">+I70</f>
        <v>48620.25</v>
      </c>
      <c r="J71" s="68">
        <f t="shared" si="114"/>
        <v>1012130.4375</v>
      </c>
      <c r="K71" s="68">
        <f t="shared" si="114"/>
        <v>1445900.625</v>
      </c>
      <c r="L71" s="68">
        <f t="shared" si="114"/>
        <v>0</v>
      </c>
      <c r="M71" s="68">
        <f t="shared" si="114"/>
        <v>0</v>
      </c>
      <c r="N71" s="58"/>
      <c r="O71" s="63" t="s">
        <v>17</v>
      </c>
      <c r="P71" s="68">
        <f t="shared" ref="P71:T71" si="115">+I71*B71</f>
        <v>0</v>
      </c>
      <c r="Q71" s="68">
        <f t="shared" si="115"/>
        <v>0</v>
      </c>
      <c r="R71" s="68">
        <f t="shared" si="115"/>
        <v>0</v>
      </c>
      <c r="S71" s="68">
        <f t="shared" si="115"/>
        <v>0</v>
      </c>
      <c r="T71" s="68">
        <f t="shared" si="115"/>
        <v>0</v>
      </c>
      <c r="U71" s="58"/>
      <c r="V71" s="58"/>
      <c r="W71" s="58"/>
      <c r="X71" s="58"/>
      <c r="Y71" s="58"/>
      <c r="Z71" s="58"/>
    </row>
    <row r="72" spans="1:26" ht="15.75" customHeight="1" x14ac:dyDescent="0.25">
      <c r="A72" s="63" t="s">
        <v>18</v>
      </c>
      <c r="B72" s="66"/>
      <c r="C72" s="68"/>
      <c r="D72" s="66"/>
      <c r="E72" s="66"/>
      <c r="F72" s="66"/>
      <c r="G72" s="58"/>
      <c r="H72" s="63" t="s">
        <v>18</v>
      </c>
      <c r="I72" s="68">
        <f t="shared" ref="I72:M72" si="116">+I71</f>
        <v>48620.25</v>
      </c>
      <c r="J72" s="68">
        <f t="shared" si="116"/>
        <v>1012130.4375</v>
      </c>
      <c r="K72" s="68">
        <f t="shared" si="116"/>
        <v>1445900.625</v>
      </c>
      <c r="L72" s="68">
        <f t="shared" si="116"/>
        <v>0</v>
      </c>
      <c r="M72" s="68">
        <f t="shared" si="116"/>
        <v>0</v>
      </c>
      <c r="N72" s="58"/>
      <c r="O72" s="63" t="s">
        <v>18</v>
      </c>
      <c r="P72" s="68">
        <f t="shared" ref="P72:T72" si="117">+I72*B72</f>
        <v>0</v>
      </c>
      <c r="Q72" s="68">
        <f t="shared" si="117"/>
        <v>0</v>
      </c>
      <c r="R72" s="68">
        <f t="shared" si="117"/>
        <v>0</v>
      </c>
      <c r="S72" s="68">
        <f t="shared" si="117"/>
        <v>0</v>
      </c>
      <c r="T72" s="68">
        <f t="shared" si="117"/>
        <v>0</v>
      </c>
      <c r="U72" s="58"/>
      <c r="V72" s="58"/>
      <c r="W72" s="58"/>
      <c r="X72" s="58"/>
      <c r="Y72" s="58"/>
      <c r="Z72" s="58"/>
    </row>
    <row r="73" spans="1:26" ht="15.75" customHeight="1" x14ac:dyDescent="0.3">
      <c r="A73" s="70" t="s">
        <v>48</v>
      </c>
      <c r="B73" s="72">
        <f t="shared" ref="B73:C73" si="118">+SUM(B61:B72)</f>
        <v>0</v>
      </c>
      <c r="C73" s="71">
        <f t="shared" si="118"/>
        <v>0</v>
      </c>
      <c r="D73" s="72"/>
      <c r="E73" s="72"/>
      <c r="F73" s="72">
        <f>+SUM(F61:F72)</f>
        <v>0</v>
      </c>
      <c r="G73" s="58"/>
      <c r="H73" s="70" t="s">
        <v>48</v>
      </c>
      <c r="I73" s="71"/>
      <c r="J73" s="71"/>
      <c r="K73" s="71"/>
      <c r="L73" s="71"/>
      <c r="M73" s="71"/>
      <c r="N73" s="58"/>
      <c r="O73" s="70" t="s">
        <v>48</v>
      </c>
      <c r="P73" s="71">
        <f t="shared" ref="P73:T73" si="119">+SUM(P61:P72)</f>
        <v>0</v>
      </c>
      <c r="Q73" s="71">
        <f t="shared" si="119"/>
        <v>0</v>
      </c>
      <c r="R73" s="71">
        <f t="shared" si="119"/>
        <v>0</v>
      </c>
      <c r="S73" s="71">
        <f t="shared" si="119"/>
        <v>0</v>
      </c>
      <c r="T73" s="71">
        <f t="shared" si="119"/>
        <v>0</v>
      </c>
      <c r="U73" s="58"/>
      <c r="V73" s="58"/>
      <c r="W73" s="58"/>
      <c r="X73" s="58"/>
      <c r="Y73" s="58"/>
      <c r="Z73" s="58"/>
    </row>
    <row r="74" spans="1:26" ht="15.75" customHeight="1" x14ac:dyDescent="0.3">
      <c r="A74" s="58"/>
      <c r="B74" s="57"/>
      <c r="C74" s="58"/>
      <c r="D74" s="57"/>
      <c r="E74" s="57"/>
      <c r="F74" s="57"/>
      <c r="G74" s="58"/>
      <c r="H74" s="58"/>
      <c r="I74" s="58"/>
      <c r="J74" s="58"/>
      <c r="K74" s="58"/>
      <c r="L74" s="58"/>
      <c r="M74" s="58"/>
      <c r="N74" s="58"/>
      <c r="O74" s="70" t="s">
        <v>48</v>
      </c>
      <c r="P74" s="71">
        <f t="shared" ref="P74:T74" si="120">+P17+P31+P45+P59+P73</f>
        <v>182400000</v>
      </c>
      <c r="Q74" s="71">
        <f t="shared" si="120"/>
        <v>2520000</v>
      </c>
      <c r="R74" s="71">
        <f t="shared" si="120"/>
        <v>2400000</v>
      </c>
      <c r="S74" s="71">
        <f t="shared" si="120"/>
        <v>0</v>
      </c>
      <c r="T74" s="71">
        <f t="shared" si="120"/>
        <v>0</v>
      </c>
      <c r="U74" s="58"/>
      <c r="V74" s="58"/>
      <c r="W74" s="58"/>
      <c r="X74" s="58"/>
      <c r="Y74" s="58"/>
      <c r="Z74" s="58"/>
    </row>
    <row r="75" spans="1:26" ht="15.75" customHeight="1" x14ac:dyDescent="0.25">
      <c r="A75" s="58"/>
      <c r="B75" s="57"/>
      <c r="C75" s="58"/>
      <c r="D75" s="57"/>
      <c r="E75" s="57"/>
      <c r="F75" s="57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 ht="15.75" customHeight="1" x14ac:dyDescent="0.25">
      <c r="A76" s="58"/>
      <c r="B76" s="57"/>
      <c r="C76" s="58"/>
      <c r="D76" s="57"/>
      <c r="E76" s="57"/>
      <c r="F76" s="57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 ht="15.75" customHeight="1" x14ac:dyDescent="0.25">
      <c r="A77" s="58"/>
      <c r="B77" s="57"/>
      <c r="C77" s="58"/>
      <c r="D77" s="57"/>
      <c r="E77" s="57"/>
      <c r="F77" s="57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 ht="15.75" customHeight="1" x14ac:dyDescent="0.25">
      <c r="A78" s="58"/>
      <c r="B78" s="57"/>
      <c r="C78" s="58"/>
      <c r="D78" s="57"/>
      <c r="E78" s="57"/>
      <c r="F78" s="57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 ht="15.75" customHeight="1" x14ac:dyDescent="0.25">
      <c r="A79" s="58"/>
      <c r="B79" s="57"/>
      <c r="C79" s="58"/>
      <c r="D79" s="57"/>
      <c r="E79" s="57"/>
      <c r="F79" s="57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 ht="15.75" customHeight="1" x14ac:dyDescent="0.25">
      <c r="A80" s="58"/>
      <c r="B80" s="57"/>
      <c r="C80" s="58"/>
      <c r="D80" s="57"/>
      <c r="E80" s="57"/>
      <c r="F80" s="57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 ht="15.75" customHeight="1" x14ac:dyDescent="0.25">
      <c r="A81" s="58"/>
      <c r="B81" s="57"/>
      <c r="C81" s="58"/>
      <c r="D81" s="57"/>
      <c r="E81" s="57"/>
      <c r="F81" s="57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 ht="15.75" customHeight="1" x14ac:dyDescent="0.25">
      <c r="A82" s="58"/>
      <c r="B82" s="57"/>
      <c r="C82" s="58"/>
      <c r="D82" s="57"/>
      <c r="E82" s="57"/>
      <c r="F82" s="57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 ht="15.75" customHeight="1" x14ac:dyDescent="0.25">
      <c r="A83" s="58"/>
      <c r="B83" s="57"/>
      <c r="C83" s="58"/>
      <c r="D83" s="57"/>
      <c r="E83" s="57"/>
      <c r="F83" s="57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 ht="15.75" customHeight="1" x14ac:dyDescent="0.25">
      <c r="A84" s="58"/>
      <c r="B84" s="57"/>
      <c r="C84" s="58"/>
      <c r="D84" s="57"/>
      <c r="E84" s="57"/>
      <c r="F84" s="57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 ht="15.75" customHeight="1" x14ac:dyDescent="0.25">
      <c r="A85" s="58"/>
      <c r="B85" s="57"/>
      <c r="C85" s="58"/>
      <c r="D85" s="57"/>
      <c r="E85" s="57"/>
      <c r="F85" s="57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 ht="15.75" customHeight="1" x14ac:dyDescent="0.25">
      <c r="A86" s="58"/>
      <c r="B86" s="57"/>
      <c r="C86" s="58"/>
      <c r="D86" s="57"/>
      <c r="E86" s="57"/>
      <c r="F86" s="57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 ht="15.75" customHeight="1" x14ac:dyDescent="0.25">
      <c r="A87" s="58"/>
      <c r="B87" s="57"/>
      <c r="C87" s="58"/>
      <c r="D87" s="57"/>
      <c r="E87" s="57"/>
      <c r="F87" s="57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 ht="15.75" customHeight="1" x14ac:dyDescent="0.25">
      <c r="A88" s="58"/>
      <c r="B88" s="57"/>
      <c r="C88" s="58"/>
      <c r="D88" s="57"/>
      <c r="E88" s="57"/>
      <c r="F88" s="57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 ht="15.75" customHeight="1" x14ac:dyDescent="0.25">
      <c r="A89" s="58"/>
      <c r="B89" s="57"/>
      <c r="C89" s="58"/>
      <c r="D89" s="57"/>
      <c r="E89" s="57"/>
      <c r="F89" s="57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 ht="15.75" customHeight="1" x14ac:dyDescent="0.25">
      <c r="A90" s="58"/>
      <c r="B90" s="57"/>
      <c r="C90" s="58"/>
      <c r="D90" s="57"/>
      <c r="E90" s="57"/>
      <c r="F90" s="57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 ht="15.75" customHeight="1" x14ac:dyDescent="0.25">
      <c r="A91" s="58"/>
      <c r="B91" s="57"/>
      <c r="C91" s="58"/>
      <c r="D91" s="57"/>
      <c r="E91" s="57"/>
      <c r="F91" s="57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 ht="15.75" customHeight="1" x14ac:dyDescent="0.25">
      <c r="A92" s="58"/>
      <c r="B92" s="57"/>
      <c r="C92" s="58"/>
      <c r="D92" s="57"/>
      <c r="E92" s="57"/>
      <c r="F92" s="57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 ht="15.75" customHeight="1" x14ac:dyDescent="0.25">
      <c r="A93" s="58"/>
      <c r="B93" s="57"/>
      <c r="C93" s="58"/>
      <c r="D93" s="57"/>
      <c r="E93" s="57"/>
      <c r="F93" s="57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 ht="15.75" customHeight="1" x14ac:dyDescent="0.25">
      <c r="A94" s="58"/>
      <c r="B94" s="57"/>
      <c r="C94" s="58"/>
      <c r="D94" s="57"/>
      <c r="E94" s="57"/>
      <c r="F94" s="57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 ht="15.75" customHeight="1" x14ac:dyDescent="0.25">
      <c r="A95" s="58"/>
      <c r="B95" s="57"/>
      <c r="C95" s="58"/>
      <c r="D95" s="57"/>
      <c r="E95" s="57"/>
      <c r="F95" s="57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 ht="15.75" customHeight="1" x14ac:dyDescent="0.25">
      <c r="A96" s="58"/>
      <c r="B96" s="57"/>
      <c r="C96" s="58"/>
      <c r="D96" s="57"/>
      <c r="E96" s="57"/>
      <c r="F96" s="57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 ht="15.75" customHeight="1" x14ac:dyDescent="0.25">
      <c r="A97" s="58"/>
      <c r="B97" s="57"/>
      <c r="C97" s="58"/>
      <c r="D97" s="57"/>
      <c r="E97" s="57"/>
      <c r="F97" s="57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 ht="15.75" customHeight="1" x14ac:dyDescent="0.25">
      <c r="A98" s="58"/>
      <c r="B98" s="57"/>
      <c r="C98" s="58"/>
      <c r="D98" s="57"/>
      <c r="E98" s="57"/>
      <c r="F98" s="57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 ht="15.75" customHeight="1" x14ac:dyDescent="0.25">
      <c r="A99" s="58"/>
      <c r="B99" s="57"/>
      <c r="C99" s="58"/>
      <c r="D99" s="57"/>
      <c r="E99" s="57"/>
      <c r="F99" s="57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1:26" ht="15.75" customHeight="1" x14ac:dyDescent="0.25">
      <c r="A100" s="58"/>
      <c r="B100" s="57"/>
      <c r="C100" s="58"/>
      <c r="D100" s="57"/>
      <c r="E100" s="57"/>
      <c r="F100" s="57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spans="1:26" ht="15.75" customHeight="1" x14ac:dyDescent="0.25">
      <c r="A101" s="58"/>
      <c r="B101" s="57"/>
      <c r="C101" s="58"/>
      <c r="D101" s="57"/>
      <c r="E101" s="57"/>
      <c r="F101" s="57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spans="1:26" ht="15.75" customHeight="1" x14ac:dyDescent="0.25">
      <c r="A102" s="58"/>
      <c r="B102" s="57"/>
      <c r="C102" s="58"/>
      <c r="D102" s="57"/>
      <c r="E102" s="57"/>
      <c r="F102" s="57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spans="1:26" ht="15.75" customHeight="1" x14ac:dyDescent="0.25">
      <c r="A103" s="58"/>
      <c r="B103" s="57"/>
      <c r="C103" s="58"/>
      <c r="D103" s="57"/>
      <c r="E103" s="57"/>
      <c r="F103" s="57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spans="1:26" ht="15.75" customHeight="1" x14ac:dyDescent="0.25">
      <c r="A104" s="58"/>
      <c r="B104" s="57"/>
      <c r="C104" s="58"/>
      <c r="D104" s="57"/>
      <c r="E104" s="57"/>
      <c r="F104" s="57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spans="1:26" ht="15.75" customHeight="1" x14ac:dyDescent="0.25">
      <c r="A105" s="58"/>
      <c r="B105" s="57"/>
      <c r="C105" s="58"/>
      <c r="D105" s="57"/>
      <c r="E105" s="57"/>
      <c r="F105" s="57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spans="1:26" ht="15.75" customHeight="1" x14ac:dyDescent="0.25">
      <c r="A106" s="58"/>
      <c r="B106" s="57"/>
      <c r="C106" s="58"/>
      <c r="D106" s="57"/>
      <c r="E106" s="57"/>
      <c r="F106" s="57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spans="1:26" ht="15.75" customHeight="1" x14ac:dyDescent="0.25">
      <c r="A107" s="58"/>
      <c r="B107" s="57"/>
      <c r="C107" s="58"/>
      <c r="D107" s="57"/>
      <c r="E107" s="57"/>
      <c r="F107" s="57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spans="1:26" ht="15.75" customHeight="1" x14ac:dyDescent="0.25">
      <c r="A108" s="58"/>
      <c r="B108" s="57"/>
      <c r="C108" s="58"/>
      <c r="D108" s="57"/>
      <c r="E108" s="57"/>
      <c r="F108" s="57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spans="1:26" ht="15.75" customHeight="1" x14ac:dyDescent="0.25">
      <c r="A109" s="58"/>
      <c r="B109" s="57"/>
      <c r="C109" s="58"/>
      <c r="D109" s="57"/>
      <c r="E109" s="57"/>
      <c r="F109" s="57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spans="1:26" ht="15.75" customHeight="1" x14ac:dyDescent="0.25">
      <c r="A110" s="58"/>
      <c r="B110" s="57"/>
      <c r="C110" s="58"/>
      <c r="D110" s="57"/>
      <c r="E110" s="57"/>
      <c r="F110" s="57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spans="1:26" ht="15.75" customHeight="1" x14ac:dyDescent="0.25">
      <c r="A111" s="58"/>
      <c r="B111" s="57"/>
      <c r="C111" s="58"/>
      <c r="D111" s="57"/>
      <c r="E111" s="57"/>
      <c r="F111" s="57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spans="1:26" ht="15.75" customHeight="1" x14ac:dyDescent="0.25">
      <c r="A112" s="58"/>
      <c r="B112" s="57"/>
      <c r="C112" s="58"/>
      <c r="D112" s="57"/>
      <c r="E112" s="57"/>
      <c r="F112" s="57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spans="1:26" ht="15.75" customHeight="1" x14ac:dyDescent="0.25">
      <c r="A113" s="58"/>
      <c r="B113" s="57"/>
      <c r="C113" s="58"/>
      <c r="D113" s="57"/>
      <c r="E113" s="57"/>
      <c r="F113" s="57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spans="1:26" ht="15.75" customHeight="1" x14ac:dyDescent="0.25">
      <c r="A114" s="58"/>
      <c r="B114" s="57"/>
      <c r="C114" s="58"/>
      <c r="D114" s="57"/>
      <c r="E114" s="57"/>
      <c r="F114" s="57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spans="1:26" ht="15.75" customHeight="1" x14ac:dyDescent="0.25">
      <c r="A115" s="58"/>
      <c r="B115" s="57"/>
      <c r="C115" s="58"/>
      <c r="D115" s="57"/>
      <c r="E115" s="57"/>
      <c r="F115" s="57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spans="1:26" ht="15.75" customHeight="1" x14ac:dyDescent="0.25">
      <c r="A116" s="58"/>
      <c r="B116" s="57"/>
      <c r="C116" s="58"/>
      <c r="D116" s="57"/>
      <c r="E116" s="57"/>
      <c r="F116" s="57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spans="1:26" ht="15.75" customHeight="1" x14ac:dyDescent="0.25">
      <c r="A117" s="58"/>
      <c r="B117" s="57"/>
      <c r="C117" s="58"/>
      <c r="D117" s="57"/>
      <c r="E117" s="57"/>
      <c r="F117" s="57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spans="1:26" ht="15.75" customHeight="1" x14ac:dyDescent="0.25">
      <c r="A118" s="58"/>
      <c r="B118" s="57"/>
      <c r="C118" s="58"/>
      <c r="D118" s="57"/>
      <c r="E118" s="57"/>
      <c r="F118" s="57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spans="1:26" ht="15.75" customHeight="1" x14ac:dyDescent="0.25">
      <c r="A119" s="58"/>
      <c r="B119" s="57"/>
      <c r="C119" s="58"/>
      <c r="D119" s="57"/>
      <c r="E119" s="57"/>
      <c r="F119" s="57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spans="1:26" ht="15.75" customHeight="1" x14ac:dyDescent="0.25">
      <c r="A120" s="58"/>
      <c r="B120" s="57"/>
      <c r="C120" s="58"/>
      <c r="D120" s="57"/>
      <c r="E120" s="57"/>
      <c r="F120" s="57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spans="1:26" ht="15.75" customHeight="1" x14ac:dyDescent="0.25">
      <c r="A121" s="58"/>
      <c r="B121" s="57"/>
      <c r="C121" s="58"/>
      <c r="D121" s="57"/>
      <c r="E121" s="57"/>
      <c r="F121" s="57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spans="1:26" ht="15.75" customHeight="1" x14ac:dyDescent="0.25">
      <c r="A122" s="58"/>
      <c r="B122" s="57"/>
      <c r="C122" s="58"/>
      <c r="D122" s="57"/>
      <c r="E122" s="57"/>
      <c r="F122" s="57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spans="1:26" ht="15.75" customHeight="1" x14ac:dyDescent="0.25">
      <c r="A123" s="58"/>
      <c r="B123" s="57"/>
      <c r="C123" s="58"/>
      <c r="D123" s="57"/>
      <c r="E123" s="57"/>
      <c r="F123" s="57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spans="1:26" ht="15.75" customHeight="1" x14ac:dyDescent="0.25">
      <c r="A124" s="58"/>
      <c r="B124" s="57"/>
      <c r="C124" s="58"/>
      <c r="D124" s="57"/>
      <c r="E124" s="57"/>
      <c r="F124" s="57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spans="1:26" ht="15.75" customHeight="1" x14ac:dyDescent="0.25">
      <c r="A125" s="58"/>
      <c r="B125" s="57"/>
      <c r="C125" s="58"/>
      <c r="D125" s="57"/>
      <c r="E125" s="57"/>
      <c r="F125" s="57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spans="1:26" ht="15.75" customHeight="1" x14ac:dyDescent="0.25">
      <c r="A126" s="58"/>
      <c r="B126" s="57"/>
      <c r="C126" s="58"/>
      <c r="D126" s="57"/>
      <c r="E126" s="57"/>
      <c r="F126" s="57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spans="1:26" ht="15.75" customHeight="1" x14ac:dyDescent="0.25">
      <c r="A127" s="58"/>
      <c r="B127" s="57"/>
      <c r="C127" s="58"/>
      <c r="D127" s="57"/>
      <c r="E127" s="57"/>
      <c r="F127" s="57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spans="1:26" ht="15.75" customHeight="1" x14ac:dyDescent="0.25">
      <c r="A128" s="58"/>
      <c r="B128" s="57"/>
      <c r="C128" s="58"/>
      <c r="D128" s="57"/>
      <c r="E128" s="57"/>
      <c r="F128" s="57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spans="1:26" ht="15.75" customHeight="1" x14ac:dyDescent="0.25">
      <c r="A129" s="58"/>
      <c r="B129" s="57"/>
      <c r="C129" s="58"/>
      <c r="D129" s="57"/>
      <c r="E129" s="57"/>
      <c r="F129" s="57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spans="1:26" ht="15.75" customHeight="1" x14ac:dyDescent="0.25">
      <c r="A130" s="58"/>
      <c r="B130" s="57"/>
      <c r="C130" s="58"/>
      <c r="D130" s="57"/>
      <c r="E130" s="57"/>
      <c r="F130" s="57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spans="1:26" ht="15.75" customHeight="1" x14ac:dyDescent="0.25">
      <c r="A131" s="58"/>
      <c r="B131" s="57"/>
      <c r="C131" s="58"/>
      <c r="D131" s="57"/>
      <c r="E131" s="57"/>
      <c r="F131" s="57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spans="1:26" ht="15.75" customHeight="1" x14ac:dyDescent="0.25">
      <c r="A132" s="58"/>
      <c r="B132" s="57"/>
      <c r="C132" s="58"/>
      <c r="D132" s="57"/>
      <c r="E132" s="57"/>
      <c r="F132" s="57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spans="1:26" ht="15.75" customHeight="1" x14ac:dyDescent="0.25">
      <c r="A133" s="58"/>
      <c r="B133" s="57"/>
      <c r="C133" s="58"/>
      <c r="D133" s="57"/>
      <c r="E133" s="57"/>
      <c r="F133" s="57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spans="1:26" ht="15.75" customHeight="1" x14ac:dyDescent="0.25">
      <c r="A134" s="58"/>
      <c r="B134" s="57"/>
      <c r="C134" s="58"/>
      <c r="D134" s="57"/>
      <c r="E134" s="57"/>
      <c r="F134" s="57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spans="1:26" ht="15.75" customHeight="1" x14ac:dyDescent="0.25">
      <c r="A135" s="58"/>
      <c r="B135" s="57"/>
      <c r="C135" s="58"/>
      <c r="D135" s="57"/>
      <c r="E135" s="57"/>
      <c r="F135" s="57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spans="1:26" ht="15.75" customHeight="1" x14ac:dyDescent="0.25">
      <c r="A136" s="58"/>
      <c r="B136" s="57"/>
      <c r="C136" s="58"/>
      <c r="D136" s="57"/>
      <c r="E136" s="57"/>
      <c r="F136" s="57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spans="1:26" ht="15.75" customHeight="1" x14ac:dyDescent="0.25">
      <c r="A137" s="58"/>
      <c r="B137" s="57"/>
      <c r="C137" s="58"/>
      <c r="D137" s="57"/>
      <c r="E137" s="57"/>
      <c r="F137" s="57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spans="1:26" ht="15.75" customHeight="1" x14ac:dyDescent="0.25">
      <c r="A138" s="58"/>
      <c r="B138" s="57"/>
      <c r="C138" s="58"/>
      <c r="D138" s="57"/>
      <c r="E138" s="57"/>
      <c r="F138" s="57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spans="1:26" ht="15.75" customHeight="1" x14ac:dyDescent="0.25">
      <c r="A139" s="58"/>
      <c r="B139" s="57"/>
      <c r="C139" s="58"/>
      <c r="D139" s="57"/>
      <c r="E139" s="57"/>
      <c r="F139" s="57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spans="1:26" ht="15.75" customHeight="1" x14ac:dyDescent="0.25">
      <c r="A140" s="58"/>
      <c r="B140" s="57"/>
      <c r="C140" s="58"/>
      <c r="D140" s="57"/>
      <c r="E140" s="57"/>
      <c r="F140" s="57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spans="1:26" ht="15.75" customHeight="1" x14ac:dyDescent="0.25">
      <c r="A141" s="58"/>
      <c r="B141" s="57"/>
      <c r="C141" s="58"/>
      <c r="D141" s="57"/>
      <c r="E141" s="57"/>
      <c r="F141" s="57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spans="1:26" ht="15.75" customHeight="1" x14ac:dyDescent="0.25">
      <c r="A142" s="58"/>
      <c r="B142" s="57"/>
      <c r="C142" s="58"/>
      <c r="D142" s="57"/>
      <c r="E142" s="57"/>
      <c r="F142" s="57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spans="1:26" ht="15.75" customHeight="1" x14ac:dyDescent="0.25">
      <c r="A143" s="58"/>
      <c r="B143" s="57"/>
      <c r="C143" s="58"/>
      <c r="D143" s="57"/>
      <c r="E143" s="57"/>
      <c r="F143" s="57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spans="1:26" ht="15.75" customHeight="1" x14ac:dyDescent="0.25">
      <c r="A144" s="58"/>
      <c r="B144" s="57"/>
      <c r="C144" s="58"/>
      <c r="D144" s="57"/>
      <c r="E144" s="57"/>
      <c r="F144" s="57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spans="1:26" ht="15.75" customHeight="1" x14ac:dyDescent="0.25">
      <c r="A145" s="58"/>
      <c r="B145" s="57"/>
      <c r="C145" s="58"/>
      <c r="D145" s="57"/>
      <c r="E145" s="57"/>
      <c r="F145" s="57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spans="1:26" ht="15.75" customHeight="1" x14ac:dyDescent="0.25">
      <c r="A146" s="58"/>
      <c r="B146" s="57"/>
      <c r="C146" s="58"/>
      <c r="D146" s="57"/>
      <c r="E146" s="57"/>
      <c r="F146" s="57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spans="1:26" ht="15.75" customHeight="1" x14ac:dyDescent="0.25">
      <c r="A147" s="58"/>
      <c r="B147" s="57"/>
      <c r="C147" s="58"/>
      <c r="D147" s="57"/>
      <c r="E147" s="57"/>
      <c r="F147" s="57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spans="1:26" ht="15.75" customHeight="1" x14ac:dyDescent="0.25">
      <c r="A148" s="58"/>
      <c r="B148" s="57"/>
      <c r="C148" s="58"/>
      <c r="D148" s="57"/>
      <c r="E148" s="57"/>
      <c r="F148" s="57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spans="1:26" ht="15.75" customHeight="1" x14ac:dyDescent="0.25">
      <c r="A149" s="58"/>
      <c r="B149" s="57"/>
      <c r="C149" s="58"/>
      <c r="D149" s="57"/>
      <c r="E149" s="57"/>
      <c r="F149" s="57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spans="1:26" ht="15.75" customHeight="1" x14ac:dyDescent="0.25">
      <c r="A150" s="58"/>
      <c r="B150" s="57"/>
      <c r="C150" s="58"/>
      <c r="D150" s="57"/>
      <c r="E150" s="57"/>
      <c r="F150" s="57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spans="1:26" ht="15.75" customHeight="1" x14ac:dyDescent="0.25">
      <c r="A151" s="58"/>
      <c r="B151" s="57"/>
      <c r="C151" s="58"/>
      <c r="D151" s="57"/>
      <c r="E151" s="57"/>
      <c r="F151" s="57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spans="1:26" ht="15.75" customHeight="1" x14ac:dyDescent="0.25">
      <c r="A152" s="58"/>
      <c r="B152" s="57"/>
      <c r="C152" s="58"/>
      <c r="D152" s="57"/>
      <c r="E152" s="57"/>
      <c r="F152" s="57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spans="1:26" ht="15.75" customHeight="1" x14ac:dyDescent="0.25">
      <c r="A153" s="58"/>
      <c r="B153" s="57"/>
      <c r="C153" s="58"/>
      <c r="D153" s="57"/>
      <c r="E153" s="57"/>
      <c r="F153" s="57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spans="1:26" ht="15.75" customHeight="1" x14ac:dyDescent="0.25">
      <c r="A154" s="58"/>
      <c r="B154" s="57"/>
      <c r="C154" s="58"/>
      <c r="D154" s="57"/>
      <c r="E154" s="57"/>
      <c r="F154" s="57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spans="1:26" ht="15.75" customHeight="1" x14ac:dyDescent="0.25">
      <c r="A155" s="58"/>
      <c r="B155" s="57"/>
      <c r="C155" s="58"/>
      <c r="D155" s="57"/>
      <c r="E155" s="57"/>
      <c r="F155" s="57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spans="1:26" ht="15.75" customHeight="1" x14ac:dyDescent="0.25">
      <c r="A156" s="58"/>
      <c r="B156" s="57"/>
      <c r="C156" s="58"/>
      <c r="D156" s="57"/>
      <c r="E156" s="57"/>
      <c r="F156" s="57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spans="1:26" ht="15.75" customHeight="1" x14ac:dyDescent="0.25">
      <c r="A157" s="58"/>
      <c r="B157" s="57"/>
      <c r="C157" s="58"/>
      <c r="D157" s="57"/>
      <c r="E157" s="57"/>
      <c r="F157" s="57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spans="1:26" ht="15.75" customHeight="1" x14ac:dyDescent="0.25">
      <c r="A158" s="58"/>
      <c r="B158" s="57"/>
      <c r="C158" s="58"/>
      <c r="D158" s="57"/>
      <c r="E158" s="57"/>
      <c r="F158" s="57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spans="1:26" ht="15.75" customHeight="1" x14ac:dyDescent="0.25">
      <c r="A159" s="58"/>
      <c r="B159" s="57"/>
      <c r="C159" s="58"/>
      <c r="D159" s="57"/>
      <c r="E159" s="57"/>
      <c r="F159" s="57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spans="1:26" ht="15.75" customHeight="1" x14ac:dyDescent="0.25">
      <c r="A160" s="58"/>
      <c r="B160" s="57"/>
      <c r="C160" s="58"/>
      <c r="D160" s="57"/>
      <c r="E160" s="57"/>
      <c r="F160" s="57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spans="1:26" ht="15.75" customHeight="1" x14ac:dyDescent="0.25">
      <c r="A161" s="58"/>
      <c r="B161" s="57"/>
      <c r="C161" s="58"/>
      <c r="D161" s="57"/>
      <c r="E161" s="57"/>
      <c r="F161" s="57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spans="1:26" ht="15.75" customHeight="1" x14ac:dyDescent="0.25">
      <c r="A162" s="58"/>
      <c r="B162" s="57"/>
      <c r="C162" s="58"/>
      <c r="D162" s="57"/>
      <c r="E162" s="57"/>
      <c r="F162" s="57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spans="1:26" ht="15.75" customHeight="1" x14ac:dyDescent="0.25">
      <c r="A163" s="58"/>
      <c r="B163" s="57"/>
      <c r="C163" s="58"/>
      <c r="D163" s="57"/>
      <c r="E163" s="57"/>
      <c r="F163" s="57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spans="1:26" ht="15.75" customHeight="1" x14ac:dyDescent="0.25">
      <c r="A164" s="58"/>
      <c r="B164" s="57"/>
      <c r="C164" s="58"/>
      <c r="D164" s="57"/>
      <c r="E164" s="57"/>
      <c r="F164" s="57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spans="1:26" ht="15.75" customHeight="1" x14ac:dyDescent="0.25">
      <c r="A165" s="58"/>
      <c r="B165" s="57"/>
      <c r="C165" s="58"/>
      <c r="D165" s="57"/>
      <c r="E165" s="57"/>
      <c r="F165" s="57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spans="1:26" ht="15.75" customHeight="1" x14ac:dyDescent="0.25">
      <c r="A166" s="58"/>
      <c r="B166" s="57"/>
      <c r="C166" s="58"/>
      <c r="D166" s="57"/>
      <c r="E166" s="57"/>
      <c r="F166" s="57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spans="1:26" ht="15.75" customHeight="1" x14ac:dyDescent="0.25">
      <c r="A167" s="58"/>
      <c r="B167" s="57"/>
      <c r="C167" s="58"/>
      <c r="D167" s="57"/>
      <c r="E167" s="57"/>
      <c r="F167" s="57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spans="1:26" ht="15.75" customHeight="1" x14ac:dyDescent="0.25">
      <c r="A168" s="58"/>
      <c r="B168" s="57"/>
      <c r="C168" s="58"/>
      <c r="D168" s="57"/>
      <c r="E168" s="57"/>
      <c r="F168" s="57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spans="1:26" ht="15.75" customHeight="1" x14ac:dyDescent="0.25">
      <c r="A169" s="58"/>
      <c r="B169" s="57"/>
      <c r="C169" s="58"/>
      <c r="D169" s="57"/>
      <c r="E169" s="57"/>
      <c r="F169" s="57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spans="1:26" ht="15.75" customHeight="1" x14ac:dyDescent="0.25">
      <c r="A170" s="58"/>
      <c r="B170" s="57"/>
      <c r="C170" s="58"/>
      <c r="D170" s="57"/>
      <c r="E170" s="57"/>
      <c r="F170" s="57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spans="1:26" ht="15.75" customHeight="1" x14ac:dyDescent="0.25">
      <c r="A171" s="58"/>
      <c r="B171" s="57"/>
      <c r="C171" s="58"/>
      <c r="D171" s="57"/>
      <c r="E171" s="57"/>
      <c r="F171" s="57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spans="1:26" ht="15.75" customHeight="1" x14ac:dyDescent="0.25">
      <c r="A172" s="58"/>
      <c r="B172" s="57"/>
      <c r="C172" s="58"/>
      <c r="D172" s="57"/>
      <c r="E172" s="57"/>
      <c r="F172" s="57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spans="1:26" ht="15.75" customHeight="1" x14ac:dyDescent="0.25">
      <c r="A173" s="58"/>
      <c r="B173" s="57"/>
      <c r="C173" s="58"/>
      <c r="D173" s="57"/>
      <c r="E173" s="57"/>
      <c r="F173" s="57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spans="1:26" ht="15.75" customHeight="1" x14ac:dyDescent="0.25">
      <c r="A174" s="58"/>
      <c r="B174" s="57"/>
      <c r="C174" s="58"/>
      <c r="D174" s="57"/>
      <c r="E174" s="57"/>
      <c r="F174" s="57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spans="1:26" ht="15.75" customHeight="1" x14ac:dyDescent="0.25">
      <c r="A175" s="58"/>
      <c r="B175" s="57"/>
      <c r="C175" s="58"/>
      <c r="D175" s="57"/>
      <c r="E175" s="57"/>
      <c r="F175" s="57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spans="1:26" ht="15.75" customHeight="1" x14ac:dyDescent="0.25">
      <c r="A176" s="58"/>
      <c r="B176" s="57"/>
      <c r="C176" s="58"/>
      <c r="D176" s="57"/>
      <c r="E176" s="57"/>
      <c r="F176" s="57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spans="1:26" ht="15.75" customHeight="1" x14ac:dyDescent="0.25">
      <c r="A177" s="58"/>
      <c r="B177" s="57"/>
      <c r="C177" s="58"/>
      <c r="D177" s="57"/>
      <c r="E177" s="57"/>
      <c r="F177" s="57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spans="1:26" ht="15.75" customHeight="1" x14ac:dyDescent="0.25">
      <c r="A178" s="58"/>
      <c r="B178" s="57"/>
      <c r="C178" s="58"/>
      <c r="D178" s="57"/>
      <c r="E178" s="57"/>
      <c r="F178" s="57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spans="1:26" ht="15.75" customHeight="1" x14ac:dyDescent="0.25">
      <c r="A179" s="58"/>
      <c r="B179" s="57"/>
      <c r="C179" s="58"/>
      <c r="D179" s="57"/>
      <c r="E179" s="57"/>
      <c r="F179" s="57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spans="1:26" ht="15.75" customHeight="1" x14ac:dyDescent="0.25">
      <c r="A180" s="58"/>
      <c r="B180" s="57"/>
      <c r="C180" s="58"/>
      <c r="D180" s="57"/>
      <c r="E180" s="57"/>
      <c r="F180" s="57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spans="1:26" ht="15.75" customHeight="1" x14ac:dyDescent="0.25">
      <c r="A181" s="58"/>
      <c r="B181" s="57"/>
      <c r="C181" s="58"/>
      <c r="D181" s="57"/>
      <c r="E181" s="57"/>
      <c r="F181" s="57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spans="1:26" ht="15.75" customHeight="1" x14ac:dyDescent="0.25">
      <c r="A182" s="58"/>
      <c r="B182" s="57"/>
      <c r="C182" s="58"/>
      <c r="D182" s="57"/>
      <c r="E182" s="57"/>
      <c r="F182" s="57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spans="1:26" ht="15.75" customHeight="1" x14ac:dyDescent="0.25">
      <c r="A183" s="58"/>
      <c r="B183" s="57"/>
      <c r="C183" s="58"/>
      <c r="D183" s="57"/>
      <c r="E183" s="57"/>
      <c r="F183" s="57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spans="1:26" ht="15.75" customHeight="1" x14ac:dyDescent="0.25">
      <c r="A184" s="58"/>
      <c r="B184" s="57"/>
      <c r="C184" s="58"/>
      <c r="D184" s="57"/>
      <c r="E184" s="57"/>
      <c r="F184" s="57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spans="1:26" ht="15.75" customHeight="1" x14ac:dyDescent="0.25">
      <c r="A185" s="58"/>
      <c r="B185" s="57"/>
      <c r="C185" s="58"/>
      <c r="D185" s="57"/>
      <c r="E185" s="57"/>
      <c r="F185" s="57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spans="1:26" ht="15.75" customHeight="1" x14ac:dyDescent="0.25">
      <c r="A186" s="58"/>
      <c r="B186" s="57"/>
      <c r="C186" s="58"/>
      <c r="D186" s="57"/>
      <c r="E186" s="57"/>
      <c r="F186" s="57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spans="1:26" ht="15.75" customHeight="1" x14ac:dyDescent="0.25">
      <c r="A187" s="58"/>
      <c r="B187" s="57"/>
      <c r="C187" s="58"/>
      <c r="D187" s="57"/>
      <c r="E187" s="57"/>
      <c r="F187" s="57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spans="1:26" ht="15.75" customHeight="1" x14ac:dyDescent="0.25">
      <c r="A188" s="58"/>
      <c r="B188" s="57"/>
      <c r="C188" s="58"/>
      <c r="D188" s="57"/>
      <c r="E188" s="57"/>
      <c r="F188" s="57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spans="1:26" ht="15.75" customHeight="1" x14ac:dyDescent="0.25">
      <c r="A189" s="58"/>
      <c r="B189" s="57"/>
      <c r="C189" s="58"/>
      <c r="D189" s="57"/>
      <c r="E189" s="57"/>
      <c r="F189" s="57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spans="1:26" ht="15.75" customHeight="1" x14ac:dyDescent="0.25">
      <c r="A190" s="58"/>
      <c r="B190" s="57"/>
      <c r="C190" s="58"/>
      <c r="D190" s="57"/>
      <c r="E190" s="57"/>
      <c r="F190" s="57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spans="1:26" ht="15.75" customHeight="1" x14ac:dyDescent="0.25">
      <c r="A191" s="58"/>
      <c r="B191" s="57"/>
      <c r="C191" s="58"/>
      <c r="D191" s="57"/>
      <c r="E191" s="57"/>
      <c r="F191" s="57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spans="1:26" ht="15.75" customHeight="1" x14ac:dyDescent="0.25">
      <c r="A192" s="58"/>
      <c r="B192" s="57"/>
      <c r="C192" s="58"/>
      <c r="D192" s="57"/>
      <c r="E192" s="57"/>
      <c r="F192" s="57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spans="1:26" ht="15.75" customHeight="1" x14ac:dyDescent="0.25">
      <c r="A193" s="58"/>
      <c r="B193" s="57"/>
      <c r="C193" s="58"/>
      <c r="D193" s="57"/>
      <c r="E193" s="57"/>
      <c r="F193" s="57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spans="1:26" ht="15.75" customHeight="1" x14ac:dyDescent="0.25">
      <c r="A194" s="58"/>
      <c r="B194" s="57"/>
      <c r="C194" s="58"/>
      <c r="D194" s="57"/>
      <c r="E194" s="57"/>
      <c r="F194" s="57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spans="1:26" ht="15.75" customHeight="1" x14ac:dyDescent="0.25">
      <c r="A195" s="58"/>
      <c r="B195" s="57"/>
      <c r="C195" s="58"/>
      <c r="D195" s="57"/>
      <c r="E195" s="57"/>
      <c r="F195" s="57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spans="1:26" ht="15.75" customHeight="1" x14ac:dyDescent="0.25">
      <c r="A196" s="58"/>
      <c r="B196" s="57"/>
      <c r="C196" s="58"/>
      <c r="D196" s="57"/>
      <c r="E196" s="57"/>
      <c r="F196" s="57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spans="1:26" ht="15.75" customHeight="1" x14ac:dyDescent="0.25">
      <c r="A197" s="58"/>
      <c r="B197" s="57"/>
      <c r="C197" s="58"/>
      <c r="D197" s="57"/>
      <c r="E197" s="57"/>
      <c r="F197" s="57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spans="1:26" ht="15.75" customHeight="1" x14ac:dyDescent="0.25">
      <c r="A198" s="58"/>
      <c r="B198" s="57"/>
      <c r="C198" s="58"/>
      <c r="D198" s="57"/>
      <c r="E198" s="57"/>
      <c r="F198" s="57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spans="1:26" ht="15.75" customHeight="1" x14ac:dyDescent="0.25">
      <c r="A199" s="58"/>
      <c r="B199" s="57"/>
      <c r="C199" s="58"/>
      <c r="D199" s="57"/>
      <c r="E199" s="57"/>
      <c r="F199" s="57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spans="1:26" ht="15.75" customHeight="1" x14ac:dyDescent="0.25">
      <c r="A200" s="58"/>
      <c r="B200" s="57"/>
      <c r="C200" s="58"/>
      <c r="D200" s="57"/>
      <c r="E200" s="57"/>
      <c r="F200" s="57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spans="1:26" ht="15.75" customHeight="1" x14ac:dyDescent="0.25">
      <c r="A201" s="58"/>
      <c r="B201" s="57"/>
      <c r="C201" s="58"/>
      <c r="D201" s="57"/>
      <c r="E201" s="57"/>
      <c r="F201" s="57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spans="1:26" ht="15.75" customHeight="1" x14ac:dyDescent="0.25">
      <c r="A202" s="58"/>
      <c r="B202" s="57"/>
      <c r="C202" s="58"/>
      <c r="D202" s="57"/>
      <c r="E202" s="57"/>
      <c r="F202" s="57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spans="1:26" ht="15.75" customHeight="1" x14ac:dyDescent="0.25">
      <c r="A203" s="58"/>
      <c r="B203" s="57"/>
      <c r="C203" s="58"/>
      <c r="D203" s="57"/>
      <c r="E203" s="57"/>
      <c r="F203" s="57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spans="1:26" ht="15.75" customHeight="1" x14ac:dyDescent="0.25">
      <c r="A204" s="58"/>
      <c r="B204" s="57"/>
      <c r="C204" s="58"/>
      <c r="D204" s="57"/>
      <c r="E204" s="57"/>
      <c r="F204" s="57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spans="1:26" ht="15.75" customHeight="1" x14ac:dyDescent="0.25">
      <c r="A205" s="58"/>
      <c r="B205" s="57"/>
      <c r="C205" s="58"/>
      <c r="D205" s="57"/>
      <c r="E205" s="57"/>
      <c r="F205" s="57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spans="1:26" ht="15.75" customHeight="1" x14ac:dyDescent="0.25">
      <c r="A206" s="58"/>
      <c r="B206" s="57"/>
      <c r="C206" s="58"/>
      <c r="D206" s="57"/>
      <c r="E206" s="57"/>
      <c r="F206" s="57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spans="1:26" ht="15.75" customHeight="1" x14ac:dyDescent="0.25">
      <c r="A207" s="58"/>
      <c r="B207" s="57"/>
      <c r="C207" s="58"/>
      <c r="D207" s="57"/>
      <c r="E207" s="57"/>
      <c r="F207" s="57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spans="1:26" ht="15.75" customHeight="1" x14ac:dyDescent="0.25">
      <c r="A208" s="58"/>
      <c r="B208" s="57"/>
      <c r="C208" s="58"/>
      <c r="D208" s="57"/>
      <c r="E208" s="57"/>
      <c r="F208" s="57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spans="1:26" ht="15.75" customHeight="1" x14ac:dyDescent="0.25">
      <c r="A209" s="58"/>
      <c r="B209" s="57"/>
      <c r="C209" s="58"/>
      <c r="D209" s="57"/>
      <c r="E209" s="57"/>
      <c r="F209" s="57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spans="1:26" ht="15.75" customHeight="1" x14ac:dyDescent="0.25">
      <c r="A210" s="58"/>
      <c r="B210" s="57"/>
      <c r="C210" s="58"/>
      <c r="D210" s="57"/>
      <c r="E210" s="57"/>
      <c r="F210" s="57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spans="1:26" ht="15.75" customHeight="1" x14ac:dyDescent="0.25">
      <c r="A211" s="58"/>
      <c r="B211" s="57"/>
      <c r="C211" s="58"/>
      <c r="D211" s="57"/>
      <c r="E211" s="57"/>
      <c r="F211" s="57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spans="1:26" ht="15.75" customHeight="1" x14ac:dyDescent="0.25">
      <c r="A212" s="58"/>
      <c r="B212" s="57"/>
      <c r="C212" s="58"/>
      <c r="D212" s="57"/>
      <c r="E212" s="57"/>
      <c r="F212" s="57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spans="1:26" ht="15.75" customHeight="1" x14ac:dyDescent="0.25">
      <c r="A213" s="58"/>
      <c r="B213" s="57"/>
      <c r="C213" s="58"/>
      <c r="D213" s="57"/>
      <c r="E213" s="57"/>
      <c r="F213" s="57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spans="1:26" ht="15.75" customHeight="1" x14ac:dyDescent="0.25">
      <c r="A214" s="58"/>
      <c r="B214" s="57"/>
      <c r="C214" s="58"/>
      <c r="D214" s="57"/>
      <c r="E214" s="57"/>
      <c r="F214" s="57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spans="1:26" ht="15.75" customHeight="1" x14ac:dyDescent="0.25">
      <c r="A215" s="58"/>
      <c r="B215" s="57"/>
      <c r="C215" s="58"/>
      <c r="D215" s="57"/>
      <c r="E215" s="57"/>
      <c r="F215" s="57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spans="1:26" ht="15.75" customHeight="1" x14ac:dyDescent="0.25">
      <c r="A216" s="58"/>
      <c r="B216" s="57"/>
      <c r="C216" s="58"/>
      <c r="D216" s="57"/>
      <c r="E216" s="57"/>
      <c r="F216" s="57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spans="1:26" ht="15.75" customHeight="1" x14ac:dyDescent="0.25">
      <c r="A217" s="58"/>
      <c r="B217" s="57"/>
      <c r="C217" s="58"/>
      <c r="D217" s="57"/>
      <c r="E217" s="57"/>
      <c r="F217" s="57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spans="1:26" ht="15.75" customHeight="1" x14ac:dyDescent="0.25">
      <c r="A218" s="58"/>
      <c r="B218" s="57"/>
      <c r="C218" s="58"/>
      <c r="D218" s="57"/>
      <c r="E218" s="57"/>
      <c r="F218" s="57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spans="1:26" ht="15.75" customHeight="1" x14ac:dyDescent="0.25">
      <c r="A219" s="58"/>
      <c r="B219" s="57"/>
      <c r="C219" s="58"/>
      <c r="D219" s="57"/>
      <c r="E219" s="57"/>
      <c r="F219" s="57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spans="1:26" ht="15.75" customHeight="1" x14ac:dyDescent="0.25">
      <c r="A220" s="58"/>
      <c r="B220" s="57"/>
      <c r="C220" s="58"/>
      <c r="D220" s="57"/>
      <c r="E220" s="57"/>
      <c r="F220" s="57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spans="1:26" ht="15.75" customHeight="1" x14ac:dyDescent="0.25">
      <c r="A221" s="58"/>
      <c r="B221" s="57"/>
      <c r="C221" s="58"/>
      <c r="D221" s="57"/>
      <c r="E221" s="57"/>
      <c r="F221" s="57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spans="1:26" ht="15.75" customHeight="1" x14ac:dyDescent="0.25">
      <c r="A222" s="58"/>
      <c r="B222" s="57"/>
      <c r="C222" s="58"/>
      <c r="D222" s="57"/>
      <c r="E222" s="57"/>
      <c r="F222" s="57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spans="1:26" ht="15.75" customHeight="1" x14ac:dyDescent="0.25">
      <c r="A223" s="58"/>
      <c r="B223" s="57"/>
      <c r="C223" s="58"/>
      <c r="D223" s="57"/>
      <c r="E223" s="57"/>
      <c r="F223" s="57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spans="1:26" ht="15.75" customHeight="1" x14ac:dyDescent="0.25">
      <c r="A224" s="58"/>
      <c r="B224" s="57"/>
      <c r="C224" s="58"/>
      <c r="D224" s="57"/>
      <c r="E224" s="57"/>
      <c r="F224" s="57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spans="1:26" ht="15.75" customHeight="1" x14ac:dyDescent="0.25">
      <c r="A225" s="58"/>
      <c r="B225" s="57"/>
      <c r="C225" s="58"/>
      <c r="D225" s="57"/>
      <c r="E225" s="57"/>
      <c r="F225" s="57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spans="1:26" ht="15.75" customHeight="1" x14ac:dyDescent="0.25">
      <c r="A226" s="58"/>
      <c r="B226" s="57"/>
      <c r="C226" s="58"/>
      <c r="D226" s="57"/>
      <c r="E226" s="57"/>
      <c r="F226" s="57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spans="1:26" ht="15.75" customHeight="1" x14ac:dyDescent="0.25">
      <c r="A227" s="58"/>
      <c r="B227" s="57"/>
      <c r="C227" s="58"/>
      <c r="D227" s="57"/>
      <c r="E227" s="57"/>
      <c r="F227" s="57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spans="1:26" ht="15.75" customHeight="1" x14ac:dyDescent="0.25">
      <c r="A228" s="58"/>
      <c r="B228" s="57"/>
      <c r="C228" s="58"/>
      <c r="D228" s="57"/>
      <c r="E228" s="57"/>
      <c r="F228" s="57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spans="1:26" ht="15.75" customHeight="1" x14ac:dyDescent="0.25">
      <c r="A229" s="58"/>
      <c r="B229" s="57"/>
      <c r="C229" s="58"/>
      <c r="D229" s="57"/>
      <c r="E229" s="57"/>
      <c r="F229" s="57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spans="1:26" ht="15.75" customHeight="1" x14ac:dyDescent="0.25">
      <c r="A230" s="58"/>
      <c r="B230" s="57"/>
      <c r="C230" s="58"/>
      <c r="D230" s="57"/>
      <c r="E230" s="57"/>
      <c r="F230" s="57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spans="1:26" ht="15.75" customHeight="1" x14ac:dyDescent="0.25">
      <c r="A231" s="58"/>
      <c r="B231" s="57"/>
      <c r="C231" s="58"/>
      <c r="D231" s="57"/>
      <c r="E231" s="57"/>
      <c r="F231" s="57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spans="1:26" ht="15.75" customHeight="1" x14ac:dyDescent="0.25">
      <c r="A232" s="58"/>
      <c r="B232" s="57"/>
      <c r="C232" s="58"/>
      <c r="D232" s="57"/>
      <c r="E232" s="57"/>
      <c r="F232" s="57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spans="1:26" ht="15.75" customHeight="1" x14ac:dyDescent="0.25">
      <c r="A233" s="58"/>
      <c r="B233" s="57"/>
      <c r="C233" s="58"/>
      <c r="D233" s="57"/>
      <c r="E233" s="57"/>
      <c r="F233" s="57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spans="1:26" ht="15.75" customHeight="1" x14ac:dyDescent="0.25">
      <c r="A234" s="58"/>
      <c r="B234" s="57"/>
      <c r="C234" s="58"/>
      <c r="D234" s="57"/>
      <c r="E234" s="57"/>
      <c r="F234" s="57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spans="1:26" ht="15.75" customHeight="1" x14ac:dyDescent="0.25">
      <c r="A235" s="58"/>
      <c r="B235" s="57"/>
      <c r="C235" s="58"/>
      <c r="D235" s="57"/>
      <c r="E235" s="57"/>
      <c r="F235" s="57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spans="1:26" ht="15.75" customHeight="1" x14ac:dyDescent="0.25">
      <c r="A236" s="58"/>
      <c r="B236" s="57"/>
      <c r="C236" s="58"/>
      <c r="D236" s="57"/>
      <c r="E236" s="57"/>
      <c r="F236" s="57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spans="1:26" ht="15.75" customHeight="1" x14ac:dyDescent="0.25">
      <c r="A237" s="58"/>
      <c r="B237" s="57"/>
      <c r="C237" s="58"/>
      <c r="D237" s="57"/>
      <c r="E237" s="57"/>
      <c r="F237" s="57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spans="1:26" ht="15.75" customHeight="1" x14ac:dyDescent="0.25">
      <c r="A238" s="58"/>
      <c r="B238" s="57"/>
      <c r="C238" s="58"/>
      <c r="D238" s="57"/>
      <c r="E238" s="57"/>
      <c r="F238" s="57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spans="1:26" ht="15.75" customHeight="1" x14ac:dyDescent="0.25">
      <c r="A239" s="58"/>
      <c r="B239" s="57"/>
      <c r="C239" s="58"/>
      <c r="D239" s="57"/>
      <c r="E239" s="57"/>
      <c r="F239" s="57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spans="1:26" ht="15.75" customHeight="1" x14ac:dyDescent="0.25">
      <c r="A240" s="58"/>
      <c r="B240" s="57"/>
      <c r="C240" s="58"/>
      <c r="D240" s="57"/>
      <c r="E240" s="57"/>
      <c r="F240" s="57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spans="1:26" ht="15.75" customHeight="1" x14ac:dyDescent="0.25">
      <c r="A241" s="58"/>
      <c r="B241" s="57"/>
      <c r="C241" s="58"/>
      <c r="D241" s="57"/>
      <c r="E241" s="57"/>
      <c r="F241" s="57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spans="1:26" ht="15.75" customHeight="1" x14ac:dyDescent="0.25">
      <c r="A242" s="58"/>
      <c r="B242" s="57"/>
      <c r="C242" s="58"/>
      <c r="D242" s="57"/>
      <c r="E242" s="57"/>
      <c r="F242" s="57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spans="1:26" ht="15.75" customHeight="1" x14ac:dyDescent="0.25">
      <c r="A243" s="58"/>
      <c r="B243" s="57"/>
      <c r="C243" s="58"/>
      <c r="D243" s="57"/>
      <c r="E243" s="57"/>
      <c r="F243" s="57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spans="1:26" ht="15.75" customHeight="1" x14ac:dyDescent="0.25">
      <c r="A244" s="58"/>
      <c r="B244" s="57"/>
      <c r="C244" s="58"/>
      <c r="D244" s="57"/>
      <c r="E244" s="57"/>
      <c r="F244" s="57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spans="1:26" ht="15.75" customHeight="1" x14ac:dyDescent="0.25">
      <c r="A245" s="58"/>
      <c r="B245" s="57"/>
      <c r="C245" s="58"/>
      <c r="D245" s="57"/>
      <c r="E245" s="57"/>
      <c r="F245" s="57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spans="1:26" ht="15.75" customHeight="1" x14ac:dyDescent="0.25">
      <c r="A246" s="58"/>
      <c r="B246" s="57"/>
      <c r="C246" s="58"/>
      <c r="D246" s="57"/>
      <c r="E246" s="57"/>
      <c r="F246" s="57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spans="1:26" ht="15.75" customHeight="1" x14ac:dyDescent="0.25">
      <c r="A247" s="58"/>
      <c r="B247" s="57"/>
      <c r="C247" s="58"/>
      <c r="D247" s="57"/>
      <c r="E247" s="57"/>
      <c r="F247" s="57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spans="1:26" ht="15.75" customHeight="1" x14ac:dyDescent="0.25">
      <c r="A248" s="58"/>
      <c r="B248" s="57"/>
      <c r="C248" s="58"/>
      <c r="D248" s="57"/>
      <c r="E248" s="57"/>
      <c r="F248" s="57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spans="1:26" ht="15.75" customHeight="1" x14ac:dyDescent="0.25">
      <c r="A249" s="58"/>
      <c r="B249" s="57"/>
      <c r="C249" s="58"/>
      <c r="D249" s="57"/>
      <c r="E249" s="57"/>
      <c r="F249" s="57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spans="1:26" ht="15.75" customHeight="1" x14ac:dyDescent="0.25">
      <c r="A250" s="58"/>
      <c r="B250" s="57"/>
      <c r="C250" s="58"/>
      <c r="D250" s="57"/>
      <c r="E250" s="57"/>
      <c r="F250" s="57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spans="1:26" ht="15.75" customHeight="1" x14ac:dyDescent="0.25">
      <c r="A251" s="58"/>
      <c r="B251" s="57"/>
      <c r="C251" s="58"/>
      <c r="D251" s="57"/>
      <c r="E251" s="57"/>
      <c r="F251" s="57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spans="1:26" ht="15.75" customHeight="1" x14ac:dyDescent="0.25">
      <c r="A252" s="58"/>
      <c r="B252" s="57"/>
      <c r="C252" s="58"/>
      <c r="D252" s="57"/>
      <c r="E252" s="57"/>
      <c r="F252" s="57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spans="1:26" ht="15.75" customHeight="1" x14ac:dyDescent="0.25">
      <c r="A253" s="58"/>
      <c r="B253" s="57"/>
      <c r="C253" s="58"/>
      <c r="D253" s="57"/>
      <c r="E253" s="57"/>
      <c r="F253" s="57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spans="1:26" ht="15.75" customHeight="1" x14ac:dyDescent="0.25">
      <c r="A254" s="58"/>
      <c r="B254" s="57"/>
      <c r="C254" s="58"/>
      <c r="D254" s="57"/>
      <c r="E254" s="57"/>
      <c r="F254" s="57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spans="1:26" ht="15.75" customHeight="1" x14ac:dyDescent="0.25">
      <c r="A255" s="58"/>
      <c r="B255" s="57"/>
      <c r="C255" s="58"/>
      <c r="D255" s="57"/>
      <c r="E255" s="57"/>
      <c r="F255" s="57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spans="1:26" ht="15.75" customHeight="1" x14ac:dyDescent="0.25">
      <c r="A256" s="58"/>
      <c r="B256" s="57"/>
      <c r="C256" s="58"/>
      <c r="D256" s="57"/>
      <c r="E256" s="57"/>
      <c r="F256" s="57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spans="1:26" ht="15.75" customHeight="1" x14ac:dyDescent="0.25">
      <c r="A257" s="58"/>
      <c r="B257" s="57"/>
      <c r="C257" s="58"/>
      <c r="D257" s="57"/>
      <c r="E257" s="57"/>
      <c r="F257" s="57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spans="1:26" ht="15.75" customHeight="1" x14ac:dyDescent="0.25">
      <c r="A258" s="58"/>
      <c r="B258" s="57"/>
      <c r="C258" s="58"/>
      <c r="D258" s="57"/>
      <c r="E258" s="57"/>
      <c r="F258" s="57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spans="1:26" ht="15.75" customHeight="1" x14ac:dyDescent="0.25">
      <c r="A259" s="58"/>
      <c r="B259" s="57"/>
      <c r="C259" s="58"/>
      <c r="D259" s="57"/>
      <c r="E259" s="57"/>
      <c r="F259" s="57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spans="1:26" ht="15.75" customHeight="1" x14ac:dyDescent="0.25">
      <c r="A260" s="58"/>
      <c r="B260" s="57"/>
      <c r="C260" s="58"/>
      <c r="D260" s="57"/>
      <c r="E260" s="57"/>
      <c r="F260" s="57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spans="1:26" ht="15.75" customHeight="1" x14ac:dyDescent="0.25">
      <c r="A261" s="58"/>
      <c r="B261" s="57"/>
      <c r="C261" s="58"/>
      <c r="D261" s="57"/>
      <c r="E261" s="57"/>
      <c r="F261" s="57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spans="1:26" ht="15.75" customHeight="1" x14ac:dyDescent="0.25">
      <c r="A262" s="58"/>
      <c r="B262" s="57"/>
      <c r="C262" s="58"/>
      <c r="D262" s="57"/>
      <c r="E262" s="57"/>
      <c r="F262" s="57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spans="1:26" ht="15.75" customHeight="1" x14ac:dyDescent="0.25">
      <c r="A263" s="58"/>
      <c r="B263" s="57"/>
      <c r="C263" s="58"/>
      <c r="D263" s="57"/>
      <c r="E263" s="57"/>
      <c r="F263" s="57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spans="1:26" ht="15.75" customHeight="1" x14ac:dyDescent="0.25">
      <c r="A264" s="58"/>
      <c r="B264" s="57"/>
      <c r="C264" s="58"/>
      <c r="D264" s="57"/>
      <c r="E264" s="57"/>
      <c r="F264" s="57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spans="1:26" ht="15.75" customHeight="1" x14ac:dyDescent="0.25">
      <c r="A265" s="58"/>
      <c r="B265" s="57"/>
      <c r="C265" s="58"/>
      <c r="D265" s="57"/>
      <c r="E265" s="57"/>
      <c r="F265" s="57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spans="1:26" ht="15.75" customHeight="1" x14ac:dyDescent="0.25">
      <c r="A266" s="58"/>
      <c r="B266" s="57"/>
      <c r="C266" s="58"/>
      <c r="D266" s="57"/>
      <c r="E266" s="57"/>
      <c r="F266" s="57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spans="1:26" ht="15.75" customHeight="1" x14ac:dyDescent="0.25">
      <c r="A267" s="58"/>
      <c r="B267" s="57"/>
      <c r="C267" s="58"/>
      <c r="D267" s="57"/>
      <c r="E267" s="57"/>
      <c r="F267" s="57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spans="1:26" ht="15.75" customHeight="1" x14ac:dyDescent="0.25">
      <c r="A268" s="58"/>
      <c r="B268" s="57"/>
      <c r="C268" s="58"/>
      <c r="D268" s="57"/>
      <c r="E268" s="57"/>
      <c r="F268" s="57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spans="1:26" ht="15.75" customHeight="1" x14ac:dyDescent="0.25">
      <c r="A269" s="58"/>
      <c r="B269" s="57"/>
      <c r="C269" s="58"/>
      <c r="D269" s="57"/>
      <c r="E269" s="57"/>
      <c r="F269" s="57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spans="1:26" ht="15.75" customHeight="1" x14ac:dyDescent="0.25">
      <c r="A270" s="58"/>
      <c r="B270" s="57"/>
      <c r="C270" s="58"/>
      <c r="D270" s="57"/>
      <c r="E270" s="57"/>
      <c r="F270" s="57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spans="1:26" ht="15.75" customHeight="1" x14ac:dyDescent="0.25">
      <c r="A271" s="58"/>
      <c r="B271" s="57"/>
      <c r="C271" s="58"/>
      <c r="D271" s="57"/>
      <c r="E271" s="57"/>
      <c r="F271" s="57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spans="1:26" ht="15.75" customHeight="1" x14ac:dyDescent="0.25">
      <c r="A272" s="58"/>
      <c r="B272" s="57"/>
      <c r="C272" s="58"/>
      <c r="D272" s="57"/>
      <c r="E272" s="57"/>
      <c r="F272" s="57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spans="1:26" ht="15.75" customHeight="1" x14ac:dyDescent="0.25">
      <c r="A273" s="58"/>
      <c r="B273" s="57"/>
      <c r="C273" s="58"/>
      <c r="D273" s="57"/>
      <c r="E273" s="57"/>
      <c r="F273" s="57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spans="1:26" ht="15.75" customHeight="1" x14ac:dyDescent="0.25">
      <c r="A274" s="58"/>
      <c r="B274" s="57"/>
      <c r="C274" s="58"/>
      <c r="D274" s="57"/>
      <c r="E274" s="57"/>
      <c r="F274" s="57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spans="1:26" ht="15.75" customHeight="1" x14ac:dyDescent="0.25"/>
    <row r="276" spans="1:26" ht="15.75" customHeight="1" x14ac:dyDescent="0.25"/>
    <row r="277" spans="1:26" ht="15.75" customHeight="1" x14ac:dyDescent="0.25"/>
    <row r="278" spans="1:26" ht="15.75" customHeight="1" x14ac:dyDescent="0.25"/>
    <row r="279" spans="1:26" ht="15.75" customHeight="1" x14ac:dyDescent="0.25"/>
    <row r="280" spans="1:26" ht="15.75" customHeight="1" x14ac:dyDescent="0.25"/>
    <row r="281" spans="1:26" ht="15.75" customHeight="1" x14ac:dyDescent="0.25"/>
    <row r="282" spans="1:26" ht="15.75" customHeight="1" x14ac:dyDescent="0.25"/>
    <row r="283" spans="1:26" ht="15.75" customHeight="1" x14ac:dyDescent="0.25"/>
    <row r="284" spans="1:26" ht="15.75" customHeight="1" x14ac:dyDescent="0.25"/>
    <row r="285" spans="1:26" ht="15.75" customHeight="1" x14ac:dyDescent="0.25"/>
    <row r="286" spans="1:26" ht="15.75" customHeight="1" x14ac:dyDescent="0.25"/>
    <row r="287" spans="1:26" ht="15.75" customHeight="1" x14ac:dyDescent="0.25"/>
    <row r="288" spans="1:26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3" workbookViewId="0">
      <selection activeCell="B27" sqref="B27"/>
    </sheetView>
  </sheetViews>
  <sheetFormatPr baseColWidth="10" defaultColWidth="12.6640625" defaultRowHeight="15" customHeight="1" x14ac:dyDescent="0.25"/>
  <cols>
    <col min="1" max="1" width="10" customWidth="1"/>
    <col min="2" max="2" width="34.21875" customWidth="1"/>
    <col min="3" max="3" width="11.109375" customWidth="1"/>
    <col min="4" max="4" width="16.109375" customWidth="1"/>
    <col min="5" max="5" width="18.109375" customWidth="1"/>
    <col min="6" max="6" width="10" customWidth="1"/>
    <col min="7" max="7" width="19" customWidth="1"/>
    <col min="8" max="8" width="20.109375" customWidth="1"/>
    <col min="9" max="9" width="10" customWidth="1"/>
    <col min="10" max="10" width="16.109375" customWidth="1"/>
    <col min="11" max="11" width="17.6640625" customWidth="1"/>
    <col min="12" max="12" width="10" customWidth="1"/>
    <col min="13" max="13" width="16.109375" customWidth="1"/>
    <col min="14" max="14" width="17.6640625" customWidth="1"/>
    <col min="15" max="15" width="10" customWidth="1"/>
    <col min="16" max="16" width="16.109375" customWidth="1"/>
    <col min="17" max="17" width="19" customWidth="1"/>
    <col min="18" max="18" width="11.109375" customWidth="1"/>
    <col min="19" max="19" width="16.109375" customWidth="1"/>
    <col min="20" max="20" width="19" customWidth="1"/>
    <col min="21" max="26" width="10" customWidth="1"/>
  </cols>
  <sheetData>
    <row r="1" spans="2:20" ht="12.75" customHeight="1" x14ac:dyDescent="0.25">
      <c r="B1" s="132" t="s">
        <v>53</v>
      </c>
      <c r="C1" s="128"/>
      <c r="D1" s="128"/>
      <c r="E1" s="128"/>
      <c r="F1" s="128"/>
      <c r="H1" s="73"/>
    </row>
    <row r="2" spans="2:20" ht="15.75" customHeight="1" x14ac:dyDescent="0.3">
      <c r="C2" s="133" t="s">
        <v>54</v>
      </c>
      <c r="D2" s="130"/>
      <c r="E2" s="134"/>
      <c r="F2" s="133" t="s">
        <v>47</v>
      </c>
      <c r="G2" s="130"/>
      <c r="H2" s="134"/>
      <c r="I2" s="133" t="s">
        <v>49</v>
      </c>
      <c r="J2" s="130"/>
      <c r="K2" s="134"/>
      <c r="L2" s="133" t="s">
        <v>50</v>
      </c>
      <c r="M2" s="130"/>
      <c r="N2" s="134"/>
      <c r="O2" s="133" t="s">
        <v>51</v>
      </c>
      <c r="P2" s="130"/>
      <c r="Q2" s="134"/>
      <c r="R2" s="133" t="s">
        <v>52</v>
      </c>
      <c r="S2" s="130"/>
      <c r="T2" s="134"/>
    </row>
    <row r="3" spans="2:20" ht="15.75" customHeight="1" x14ac:dyDescent="0.3">
      <c r="B3" s="61" t="s">
        <v>55</v>
      </c>
      <c r="C3" s="61" t="s">
        <v>56</v>
      </c>
      <c r="D3" s="61" t="s">
        <v>57</v>
      </c>
      <c r="E3" s="61" t="s">
        <v>58</v>
      </c>
      <c r="F3" s="61" t="s">
        <v>59</v>
      </c>
      <c r="G3" s="61" t="s">
        <v>57</v>
      </c>
      <c r="H3" s="61" t="s">
        <v>58</v>
      </c>
      <c r="I3" s="61" t="s">
        <v>56</v>
      </c>
      <c r="J3" s="61" t="s">
        <v>57</v>
      </c>
      <c r="K3" s="61" t="s">
        <v>58</v>
      </c>
      <c r="L3" s="61" t="s">
        <v>56</v>
      </c>
      <c r="M3" s="61" t="s">
        <v>57</v>
      </c>
      <c r="N3" s="61" t="s">
        <v>58</v>
      </c>
      <c r="O3" s="61" t="s">
        <v>56</v>
      </c>
      <c r="P3" s="61" t="s">
        <v>57</v>
      </c>
      <c r="Q3" s="61" t="s">
        <v>58</v>
      </c>
      <c r="R3" s="61" t="s">
        <v>56</v>
      </c>
      <c r="S3" s="61" t="s">
        <v>57</v>
      </c>
      <c r="T3" s="61" t="s">
        <v>58</v>
      </c>
    </row>
    <row r="4" spans="2:20" ht="15" customHeight="1" x14ac:dyDescent="0.25">
      <c r="B4" s="75" t="s">
        <v>106</v>
      </c>
      <c r="C4" s="75">
        <v>1</v>
      </c>
      <c r="D4" s="75">
        <v>50000</v>
      </c>
      <c r="E4" s="76">
        <f t="shared" ref="E4:E7" si="0">D4*C4</f>
        <v>50000</v>
      </c>
      <c r="F4" s="77">
        <f>'Proyeccion Ventas'!B5</f>
        <v>380</v>
      </c>
      <c r="G4" s="78">
        <f t="shared" ref="G4:G15" si="1">$E$28</f>
        <v>6310</v>
      </c>
      <c r="H4" s="78">
        <f t="shared" ref="H4:H21" si="2">+G4*F4</f>
        <v>2397800</v>
      </c>
      <c r="I4" s="62"/>
      <c r="J4" s="79"/>
      <c r="K4" s="79">
        <f t="shared" ref="K4:K21" si="3">+J4*I4</f>
        <v>0</v>
      </c>
      <c r="L4" s="62"/>
      <c r="M4" s="79"/>
      <c r="N4" s="79">
        <f t="shared" ref="N4:N21" si="4">+M4*L4</f>
        <v>0</v>
      </c>
      <c r="O4" s="62"/>
      <c r="P4" s="79"/>
      <c r="Q4" s="79">
        <f t="shared" ref="Q4:Q21" si="5">+P4*O4</f>
        <v>0</v>
      </c>
      <c r="R4" s="62"/>
      <c r="S4" s="79"/>
      <c r="T4" s="79">
        <f t="shared" ref="T4:T21" si="6">+S4*R4</f>
        <v>0</v>
      </c>
    </row>
    <row r="5" spans="2:20" ht="15" customHeight="1" x14ac:dyDescent="0.25">
      <c r="B5" s="75" t="s">
        <v>107</v>
      </c>
      <c r="C5" s="75">
        <v>1</v>
      </c>
      <c r="D5" s="75">
        <v>50000</v>
      </c>
      <c r="E5" s="76">
        <f t="shared" si="0"/>
        <v>50000</v>
      </c>
      <c r="F5" s="77">
        <f>'Proyeccion Ventas'!B6</f>
        <v>380</v>
      </c>
      <c r="G5" s="78">
        <f t="shared" si="1"/>
        <v>6310</v>
      </c>
      <c r="H5" s="78">
        <f t="shared" si="2"/>
        <v>2397800</v>
      </c>
      <c r="I5" s="62"/>
      <c r="J5" s="79"/>
      <c r="K5" s="79">
        <f t="shared" si="3"/>
        <v>0</v>
      </c>
      <c r="L5" s="62"/>
      <c r="M5" s="79"/>
      <c r="N5" s="79">
        <f t="shared" si="4"/>
        <v>0</v>
      </c>
      <c r="O5" s="62"/>
      <c r="P5" s="79"/>
      <c r="Q5" s="79">
        <f t="shared" si="5"/>
        <v>0</v>
      </c>
      <c r="R5" s="62"/>
      <c r="S5" s="79"/>
      <c r="T5" s="79">
        <f t="shared" si="6"/>
        <v>0</v>
      </c>
    </row>
    <row r="6" spans="2:20" ht="15" customHeight="1" x14ac:dyDescent="0.25">
      <c r="B6" s="75" t="s">
        <v>60</v>
      </c>
      <c r="C6" s="75">
        <v>1</v>
      </c>
      <c r="D6" s="75">
        <v>50000</v>
      </c>
      <c r="E6" s="76">
        <f t="shared" si="0"/>
        <v>50000</v>
      </c>
      <c r="F6" s="77">
        <f>'Proyeccion Ventas'!B7</f>
        <v>380</v>
      </c>
      <c r="G6" s="78">
        <f t="shared" si="1"/>
        <v>6310</v>
      </c>
      <c r="H6" s="78">
        <f t="shared" si="2"/>
        <v>2397800</v>
      </c>
      <c r="I6" s="62"/>
      <c r="J6" s="79"/>
      <c r="K6" s="79">
        <f t="shared" si="3"/>
        <v>0</v>
      </c>
      <c r="L6" s="62"/>
      <c r="M6" s="79"/>
      <c r="N6" s="79">
        <f t="shared" si="4"/>
        <v>0</v>
      </c>
      <c r="O6" s="62"/>
      <c r="P6" s="79"/>
      <c r="Q6" s="79">
        <f t="shared" si="5"/>
        <v>0</v>
      </c>
      <c r="R6" s="62"/>
      <c r="S6" s="79"/>
      <c r="T6" s="79">
        <f t="shared" si="6"/>
        <v>0</v>
      </c>
    </row>
    <row r="7" spans="2:20" ht="15" customHeight="1" x14ac:dyDescent="0.25">
      <c r="B7" s="80" t="s">
        <v>105</v>
      </c>
      <c r="C7" s="81">
        <v>1</v>
      </c>
      <c r="D7" s="82">
        <v>2000</v>
      </c>
      <c r="E7" s="76">
        <f t="shared" si="0"/>
        <v>2000</v>
      </c>
      <c r="F7" s="77">
        <f>'Proyeccion Ventas'!B8</f>
        <v>380</v>
      </c>
      <c r="G7" s="78">
        <f t="shared" si="1"/>
        <v>6310</v>
      </c>
      <c r="H7" s="78">
        <f t="shared" si="2"/>
        <v>2397800</v>
      </c>
      <c r="I7" s="62"/>
      <c r="J7" s="79"/>
      <c r="K7" s="79">
        <f t="shared" si="3"/>
        <v>0</v>
      </c>
      <c r="L7" s="62"/>
      <c r="M7" s="79"/>
      <c r="N7" s="79">
        <f t="shared" si="4"/>
        <v>0</v>
      </c>
      <c r="O7" s="62"/>
      <c r="P7" s="79"/>
      <c r="Q7" s="79">
        <f t="shared" si="5"/>
        <v>0</v>
      </c>
      <c r="R7" s="62"/>
      <c r="S7" s="79"/>
      <c r="T7" s="79">
        <f t="shared" si="6"/>
        <v>0</v>
      </c>
    </row>
    <row r="8" spans="2:20" ht="15" customHeight="1" x14ac:dyDescent="0.25">
      <c r="B8" s="80" t="s">
        <v>61</v>
      </c>
      <c r="C8" s="80">
        <v>1</v>
      </c>
      <c r="D8" s="80">
        <v>3000</v>
      </c>
      <c r="E8" s="76">
        <f>D8*C8</f>
        <v>3000</v>
      </c>
      <c r="F8" s="77">
        <f>'Proyeccion Ventas'!B9</f>
        <v>380</v>
      </c>
      <c r="G8" s="78">
        <f t="shared" si="1"/>
        <v>6310</v>
      </c>
      <c r="H8" s="78">
        <f t="shared" si="2"/>
        <v>2397800</v>
      </c>
      <c r="I8" s="62"/>
      <c r="J8" s="79"/>
      <c r="K8" s="79">
        <f t="shared" si="3"/>
        <v>0</v>
      </c>
      <c r="L8" s="62"/>
      <c r="M8" s="79"/>
      <c r="N8" s="79">
        <f t="shared" si="4"/>
        <v>0</v>
      </c>
      <c r="O8" s="62"/>
      <c r="P8" s="79"/>
      <c r="Q8" s="79">
        <f t="shared" si="5"/>
        <v>0</v>
      </c>
      <c r="R8" s="62"/>
      <c r="S8" s="79"/>
      <c r="T8" s="79">
        <f t="shared" si="6"/>
        <v>0</v>
      </c>
    </row>
    <row r="9" spans="2:20" ht="15" customHeight="1" x14ac:dyDescent="0.25">
      <c r="B9" s="80" t="s">
        <v>108</v>
      </c>
      <c r="C9" s="82">
        <v>1</v>
      </c>
      <c r="D9" s="82">
        <v>3000000</v>
      </c>
      <c r="E9" s="76">
        <f t="shared" ref="E8:E21" si="7">D9*C9</f>
        <v>3000000</v>
      </c>
      <c r="F9" s="77">
        <f>'Proyeccion Ventas'!B10</f>
        <v>380</v>
      </c>
      <c r="G9" s="78">
        <f t="shared" si="1"/>
        <v>6310</v>
      </c>
      <c r="H9" s="78">
        <f t="shared" si="2"/>
        <v>2397800</v>
      </c>
      <c r="I9" s="62"/>
      <c r="J9" s="79"/>
      <c r="K9" s="79">
        <f t="shared" si="3"/>
        <v>0</v>
      </c>
      <c r="L9" s="62"/>
      <c r="M9" s="79"/>
      <c r="N9" s="79">
        <f t="shared" si="4"/>
        <v>0</v>
      </c>
      <c r="O9" s="62"/>
      <c r="P9" s="79"/>
      <c r="Q9" s="79">
        <f t="shared" si="5"/>
        <v>0</v>
      </c>
      <c r="R9" s="62"/>
      <c r="S9" s="79"/>
      <c r="T9" s="79">
        <f t="shared" si="6"/>
        <v>0</v>
      </c>
    </row>
    <row r="10" spans="2:20" ht="15" customHeight="1" x14ac:dyDescent="0.25">
      <c r="B10" s="80"/>
      <c r="C10" s="80"/>
      <c r="D10" s="80"/>
      <c r="E10" s="76">
        <f t="shared" si="7"/>
        <v>0</v>
      </c>
      <c r="F10" s="77">
        <f>'Proyeccion Ventas'!B11</f>
        <v>380</v>
      </c>
      <c r="G10" s="78">
        <f t="shared" si="1"/>
        <v>6310</v>
      </c>
      <c r="H10" s="78">
        <f t="shared" si="2"/>
        <v>2397800</v>
      </c>
      <c r="I10" s="62"/>
      <c r="J10" s="79"/>
      <c r="K10" s="79">
        <f t="shared" si="3"/>
        <v>0</v>
      </c>
      <c r="L10" s="62"/>
      <c r="M10" s="79"/>
      <c r="N10" s="79">
        <f t="shared" si="4"/>
        <v>0</v>
      </c>
      <c r="O10" s="62"/>
      <c r="P10" s="79"/>
      <c r="Q10" s="79">
        <f t="shared" si="5"/>
        <v>0</v>
      </c>
      <c r="R10" s="62"/>
      <c r="S10" s="79"/>
      <c r="T10" s="79">
        <f t="shared" si="6"/>
        <v>0</v>
      </c>
    </row>
    <row r="11" spans="2:20" ht="15" customHeight="1" x14ac:dyDescent="0.25">
      <c r="B11" s="80"/>
      <c r="C11" s="80"/>
      <c r="D11" s="80"/>
      <c r="E11" s="76">
        <f t="shared" si="7"/>
        <v>0</v>
      </c>
      <c r="F11" s="77">
        <f>'Proyeccion Ventas'!B12</f>
        <v>380</v>
      </c>
      <c r="G11" s="78">
        <f t="shared" si="1"/>
        <v>6310</v>
      </c>
      <c r="H11" s="78">
        <f t="shared" si="2"/>
        <v>2397800</v>
      </c>
      <c r="I11" s="62"/>
      <c r="J11" s="79"/>
      <c r="K11" s="79">
        <f t="shared" si="3"/>
        <v>0</v>
      </c>
      <c r="L11" s="62"/>
      <c r="M11" s="79"/>
      <c r="N11" s="79">
        <f t="shared" si="4"/>
        <v>0</v>
      </c>
      <c r="O11" s="62"/>
      <c r="P11" s="79"/>
      <c r="Q11" s="79">
        <f t="shared" si="5"/>
        <v>0</v>
      </c>
      <c r="R11" s="62"/>
      <c r="S11" s="79"/>
      <c r="T11" s="79">
        <f t="shared" si="6"/>
        <v>0</v>
      </c>
    </row>
    <row r="12" spans="2:20" ht="15" customHeight="1" x14ac:dyDescent="0.25">
      <c r="B12" s="80"/>
      <c r="C12" s="80"/>
      <c r="D12" s="80"/>
      <c r="E12" s="76">
        <f t="shared" si="7"/>
        <v>0</v>
      </c>
      <c r="F12" s="77">
        <f>'Proyeccion Ventas'!B13</f>
        <v>380</v>
      </c>
      <c r="G12" s="78">
        <f t="shared" si="1"/>
        <v>6310</v>
      </c>
      <c r="H12" s="78">
        <f t="shared" si="2"/>
        <v>2397800</v>
      </c>
      <c r="I12" s="62"/>
      <c r="J12" s="79"/>
      <c r="K12" s="79">
        <f t="shared" si="3"/>
        <v>0</v>
      </c>
      <c r="L12" s="62"/>
      <c r="M12" s="79"/>
      <c r="N12" s="79">
        <f t="shared" si="4"/>
        <v>0</v>
      </c>
      <c r="O12" s="62"/>
      <c r="P12" s="79"/>
      <c r="Q12" s="79">
        <f t="shared" si="5"/>
        <v>0</v>
      </c>
      <c r="R12" s="62"/>
      <c r="S12" s="79"/>
      <c r="T12" s="79">
        <f t="shared" si="6"/>
        <v>0</v>
      </c>
    </row>
    <row r="13" spans="2:20" ht="15" customHeight="1" x14ac:dyDescent="0.25">
      <c r="B13" s="80"/>
      <c r="C13" s="80"/>
      <c r="D13" s="80"/>
      <c r="E13" s="76">
        <f t="shared" si="7"/>
        <v>0</v>
      </c>
      <c r="F13" s="77">
        <f>'Proyeccion Ventas'!B14</f>
        <v>380</v>
      </c>
      <c r="G13" s="78">
        <f t="shared" si="1"/>
        <v>6310</v>
      </c>
      <c r="H13" s="78">
        <f t="shared" si="2"/>
        <v>2397800</v>
      </c>
      <c r="I13" s="62"/>
      <c r="J13" s="79"/>
      <c r="K13" s="79">
        <f t="shared" si="3"/>
        <v>0</v>
      </c>
      <c r="L13" s="62"/>
      <c r="M13" s="79"/>
      <c r="N13" s="79">
        <f t="shared" si="4"/>
        <v>0</v>
      </c>
      <c r="O13" s="62"/>
      <c r="P13" s="79"/>
      <c r="Q13" s="79">
        <f t="shared" si="5"/>
        <v>0</v>
      </c>
      <c r="R13" s="62"/>
      <c r="S13" s="79"/>
      <c r="T13" s="79">
        <f t="shared" si="6"/>
        <v>0</v>
      </c>
    </row>
    <row r="14" spans="2:20" ht="15" customHeight="1" x14ac:dyDescent="0.25">
      <c r="B14" s="80"/>
      <c r="C14" s="80"/>
      <c r="D14" s="80"/>
      <c r="E14" s="76">
        <f t="shared" si="7"/>
        <v>0</v>
      </c>
      <c r="F14" s="77">
        <f>'Proyeccion Ventas'!B15</f>
        <v>380</v>
      </c>
      <c r="G14" s="78">
        <f t="shared" si="1"/>
        <v>6310</v>
      </c>
      <c r="H14" s="78">
        <f t="shared" si="2"/>
        <v>2397800</v>
      </c>
      <c r="I14" s="62"/>
      <c r="J14" s="79"/>
      <c r="K14" s="79">
        <f t="shared" si="3"/>
        <v>0</v>
      </c>
      <c r="L14" s="62"/>
      <c r="M14" s="79"/>
      <c r="N14" s="79">
        <f t="shared" si="4"/>
        <v>0</v>
      </c>
      <c r="O14" s="62"/>
      <c r="P14" s="79"/>
      <c r="Q14" s="79">
        <f t="shared" si="5"/>
        <v>0</v>
      </c>
      <c r="R14" s="62"/>
      <c r="S14" s="79"/>
      <c r="T14" s="79">
        <f t="shared" si="6"/>
        <v>0</v>
      </c>
    </row>
    <row r="15" spans="2:20" ht="15" customHeight="1" x14ac:dyDescent="0.25">
      <c r="B15" s="80"/>
      <c r="C15" s="80"/>
      <c r="D15" s="80"/>
      <c r="E15" s="76">
        <f t="shared" si="7"/>
        <v>0</v>
      </c>
      <c r="F15" s="77">
        <f>'Proyeccion Ventas'!B16</f>
        <v>380</v>
      </c>
      <c r="G15" s="78">
        <f t="shared" si="1"/>
        <v>6310</v>
      </c>
      <c r="H15" s="78">
        <f t="shared" si="2"/>
        <v>2397800</v>
      </c>
      <c r="I15" s="62"/>
      <c r="J15" s="79"/>
      <c r="K15" s="79">
        <f t="shared" si="3"/>
        <v>0</v>
      </c>
      <c r="L15" s="62"/>
      <c r="M15" s="79"/>
      <c r="N15" s="79">
        <f t="shared" si="4"/>
        <v>0</v>
      </c>
      <c r="O15" s="62"/>
      <c r="P15" s="79"/>
      <c r="Q15" s="79">
        <f t="shared" si="5"/>
        <v>0</v>
      </c>
      <c r="R15" s="62"/>
      <c r="S15" s="79"/>
      <c r="T15" s="79">
        <f t="shared" si="6"/>
        <v>0</v>
      </c>
    </row>
    <row r="16" spans="2:20" ht="15" customHeight="1" x14ac:dyDescent="0.25">
      <c r="B16" s="80"/>
      <c r="C16" s="80"/>
      <c r="D16" s="80"/>
      <c r="E16" s="76">
        <f t="shared" si="7"/>
        <v>0</v>
      </c>
      <c r="F16" s="62"/>
      <c r="G16" s="79"/>
      <c r="H16" s="79">
        <f t="shared" si="2"/>
        <v>0</v>
      </c>
      <c r="I16" s="62"/>
      <c r="J16" s="79"/>
      <c r="K16" s="79">
        <f t="shared" si="3"/>
        <v>0</v>
      </c>
      <c r="L16" s="62"/>
      <c r="M16" s="79"/>
      <c r="N16" s="79">
        <f t="shared" si="4"/>
        <v>0</v>
      </c>
      <c r="O16" s="62"/>
      <c r="P16" s="79"/>
      <c r="Q16" s="79">
        <f t="shared" si="5"/>
        <v>0</v>
      </c>
      <c r="R16" s="62"/>
      <c r="S16" s="79"/>
      <c r="T16" s="79">
        <f t="shared" si="6"/>
        <v>0</v>
      </c>
    </row>
    <row r="17" spans="1:26" ht="15" customHeight="1" x14ac:dyDescent="0.25">
      <c r="B17" s="80"/>
      <c r="C17" s="80"/>
      <c r="D17" s="80"/>
      <c r="E17" s="76">
        <f t="shared" si="7"/>
        <v>0</v>
      </c>
      <c r="F17" s="62"/>
      <c r="G17" s="79"/>
      <c r="H17" s="79">
        <f t="shared" si="2"/>
        <v>0</v>
      </c>
      <c r="I17" s="62"/>
      <c r="J17" s="79"/>
      <c r="K17" s="79">
        <f t="shared" si="3"/>
        <v>0</v>
      </c>
      <c r="L17" s="62"/>
      <c r="M17" s="79"/>
      <c r="N17" s="79">
        <f t="shared" si="4"/>
        <v>0</v>
      </c>
      <c r="O17" s="62"/>
      <c r="P17" s="79"/>
      <c r="Q17" s="79">
        <f t="shared" si="5"/>
        <v>0</v>
      </c>
      <c r="R17" s="62"/>
      <c r="S17" s="79"/>
      <c r="T17" s="79">
        <f t="shared" si="6"/>
        <v>0</v>
      </c>
    </row>
    <row r="18" spans="1:26" ht="15" customHeight="1" x14ac:dyDescent="0.25">
      <c r="B18" s="80"/>
      <c r="C18" s="80"/>
      <c r="D18" s="80"/>
      <c r="E18" s="76">
        <f t="shared" si="7"/>
        <v>0</v>
      </c>
      <c r="F18" s="62"/>
      <c r="G18" s="79"/>
      <c r="H18" s="79">
        <f t="shared" si="2"/>
        <v>0</v>
      </c>
      <c r="I18" s="62"/>
      <c r="J18" s="79"/>
      <c r="K18" s="79">
        <f t="shared" si="3"/>
        <v>0</v>
      </c>
      <c r="L18" s="62"/>
      <c r="M18" s="79"/>
      <c r="N18" s="79">
        <f t="shared" si="4"/>
        <v>0</v>
      </c>
      <c r="O18" s="62"/>
      <c r="P18" s="79"/>
      <c r="Q18" s="79">
        <f t="shared" si="5"/>
        <v>0</v>
      </c>
      <c r="R18" s="62"/>
      <c r="S18" s="79"/>
      <c r="T18" s="79">
        <f t="shared" si="6"/>
        <v>0</v>
      </c>
    </row>
    <row r="19" spans="1:26" ht="15" customHeight="1" x14ac:dyDescent="0.25">
      <c r="B19" s="80"/>
      <c r="C19" s="80"/>
      <c r="D19" s="80"/>
      <c r="E19" s="76">
        <f t="shared" si="7"/>
        <v>0</v>
      </c>
      <c r="F19" s="62"/>
      <c r="G19" s="79"/>
      <c r="H19" s="79">
        <f t="shared" si="2"/>
        <v>0</v>
      </c>
      <c r="I19" s="62"/>
      <c r="J19" s="79"/>
      <c r="K19" s="79">
        <f t="shared" si="3"/>
        <v>0</v>
      </c>
      <c r="L19" s="62"/>
      <c r="M19" s="79"/>
      <c r="N19" s="79">
        <f t="shared" si="4"/>
        <v>0</v>
      </c>
      <c r="O19" s="62"/>
      <c r="P19" s="79"/>
      <c r="Q19" s="79">
        <f t="shared" si="5"/>
        <v>0</v>
      </c>
      <c r="R19" s="62"/>
      <c r="S19" s="79"/>
      <c r="T19" s="79">
        <f t="shared" si="6"/>
        <v>0</v>
      </c>
    </row>
    <row r="20" spans="1:26" ht="15" customHeight="1" x14ac:dyDescent="0.25">
      <c r="B20" s="80"/>
      <c r="C20" s="80"/>
      <c r="D20" s="80"/>
      <c r="E20" s="76">
        <f t="shared" si="7"/>
        <v>0</v>
      </c>
      <c r="F20" s="62"/>
      <c r="G20" s="79"/>
      <c r="H20" s="79">
        <f t="shared" si="2"/>
        <v>0</v>
      </c>
      <c r="I20" s="62"/>
      <c r="J20" s="79"/>
      <c r="K20" s="79">
        <f t="shared" si="3"/>
        <v>0</v>
      </c>
      <c r="L20" s="62"/>
      <c r="M20" s="79"/>
      <c r="N20" s="79">
        <f t="shared" si="4"/>
        <v>0</v>
      </c>
      <c r="O20" s="62"/>
      <c r="P20" s="79"/>
      <c r="Q20" s="79">
        <f t="shared" si="5"/>
        <v>0</v>
      </c>
      <c r="R20" s="62"/>
      <c r="S20" s="79"/>
      <c r="T20" s="79">
        <f t="shared" si="6"/>
        <v>0</v>
      </c>
    </row>
    <row r="21" spans="1:26" ht="15" customHeight="1" x14ac:dyDescent="0.25">
      <c r="B21" s="80"/>
      <c r="C21" s="80"/>
      <c r="D21" s="80"/>
      <c r="E21" s="76">
        <f t="shared" si="7"/>
        <v>0</v>
      </c>
      <c r="F21" s="62"/>
      <c r="G21" s="79"/>
      <c r="H21" s="79">
        <f t="shared" si="2"/>
        <v>0</v>
      </c>
      <c r="I21" s="62"/>
      <c r="J21" s="79"/>
      <c r="K21" s="79">
        <f t="shared" si="3"/>
        <v>0</v>
      </c>
      <c r="L21" s="62"/>
      <c r="M21" s="79"/>
      <c r="N21" s="79">
        <f t="shared" si="4"/>
        <v>0</v>
      </c>
      <c r="O21" s="62"/>
      <c r="P21" s="79"/>
      <c r="Q21" s="79">
        <f t="shared" si="5"/>
        <v>0</v>
      </c>
      <c r="R21" s="62"/>
      <c r="S21" s="79"/>
      <c r="T21" s="79">
        <f t="shared" si="6"/>
        <v>0</v>
      </c>
    </row>
    <row r="22" spans="1:26" ht="15.75" customHeight="1" x14ac:dyDescent="0.3">
      <c r="A22" s="83"/>
      <c r="B22" s="70" t="s">
        <v>48</v>
      </c>
      <c r="C22" s="70"/>
      <c r="D22" s="70"/>
      <c r="E22" s="84">
        <f>+SUM(E4:E21)</f>
        <v>3155000</v>
      </c>
      <c r="F22" s="70"/>
      <c r="G22" s="70"/>
      <c r="H22" s="85">
        <f>SUM(H4:H21)</f>
        <v>28773600</v>
      </c>
      <c r="I22" s="70"/>
      <c r="J22" s="70"/>
      <c r="K22" s="85">
        <f>SUM(K4:K21)</f>
        <v>0</v>
      </c>
      <c r="L22" s="70"/>
      <c r="M22" s="70"/>
      <c r="N22" s="85">
        <f>SUM(N4:N21)</f>
        <v>0</v>
      </c>
      <c r="O22" s="70"/>
      <c r="P22" s="70"/>
      <c r="Q22" s="85">
        <f>SUM(Q4:Q21)</f>
        <v>0</v>
      </c>
      <c r="R22" s="70"/>
      <c r="S22" s="70"/>
      <c r="T22" s="85">
        <f>SUM(T4:T21)</f>
        <v>0</v>
      </c>
      <c r="U22" s="83"/>
      <c r="V22" s="83"/>
      <c r="W22" s="83"/>
      <c r="X22" s="83"/>
      <c r="Y22" s="83"/>
      <c r="Z22" s="83"/>
    </row>
    <row r="23" spans="1:26" ht="12.75" customHeight="1" x14ac:dyDescent="0.25">
      <c r="H23" s="73"/>
    </row>
    <row r="24" spans="1:26" ht="12.75" customHeight="1" x14ac:dyDescent="0.25">
      <c r="H24" s="73"/>
    </row>
    <row r="25" spans="1:26" ht="12.75" customHeight="1" x14ac:dyDescent="0.25">
      <c r="B25" s="135" t="s">
        <v>62</v>
      </c>
      <c r="C25" s="130"/>
      <c r="D25" s="134"/>
      <c r="E25" s="86">
        <v>500</v>
      </c>
      <c r="H25" s="73"/>
    </row>
    <row r="26" spans="1:26" ht="12.75" customHeight="1" x14ac:dyDescent="0.25">
      <c r="F26" s="80"/>
      <c r="H26" s="73"/>
    </row>
    <row r="27" spans="1:26" ht="12.75" customHeight="1" x14ac:dyDescent="0.25">
      <c r="H27" s="73"/>
    </row>
    <row r="28" spans="1:26" ht="12.75" customHeight="1" x14ac:dyDescent="0.25">
      <c r="B28" s="136" t="s">
        <v>63</v>
      </c>
      <c r="C28" s="128"/>
      <c r="D28" s="128"/>
      <c r="E28" s="88">
        <f>E22/E25</f>
        <v>6310</v>
      </c>
      <c r="H28" s="73"/>
    </row>
    <row r="29" spans="1:26" ht="12.75" customHeight="1" x14ac:dyDescent="0.25">
      <c r="H29" s="73"/>
    </row>
    <row r="30" spans="1:26" ht="12.75" customHeight="1" x14ac:dyDescent="0.25">
      <c r="H30" s="73"/>
    </row>
    <row r="31" spans="1:26" ht="12.75" customHeight="1" x14ac:dyDescent="0.25">
      <c r="H31" s="73"/>
    </row>
    <row r="32" spans="1:26" ht="12.75" customHeight="1" x14ac:dyDescent="0.25">
      <c r="H32" s="73"/>
    </row>
    <row r="33" spans="2:23" ht="12.75" customHeight="1" x14ac:dyDescent="0.25">
      <c r="B33" s="132" t="s">
        <v>64</v>
      </c>
      <c r="C33" s="128"/>
      <c r="D33" s="128"/>
      <c r="E33" s="128"/>
      <c r="F33" s="128"/>
      <c r="G33" s="8"/>
      <c r="H33" s="73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 spans="2:23" ht="12.75" customHeight="1" x14ac:dyDescent="0.3">
      <c r="B34" s="8"/>
      <c r="C34" s="133" t="s">
        <v>54</v>
      </c>
      <c r="D34" s="130"/>
      <c r="E34" s="134"/>
      <c r="F34" s="133" t="s">
        <v>47</v>
      </c>
      <c r="G34" s="130"/>
      <c r="H34" s="134"/>
      <c r="I34" s="133" t="s">
        <v>49</v>
      </c>
      <c r="J34" s="130"/>
      <c r="K34" s="134"/>
      <c r="L34" s="133" t="s">
        <v>50</v>
      </c>
      <c r="M34" s="130"/>
      <c r="N34" s="134"/>
      <c r="O34" s="133" t="s">
        <v>51</v>
      </c>
      <c r="P34" s="130"/>
      <c r="Q34" s="134"/>
      <c r="R34" s="133" t="s">
        <v>52</v>
      </c>
      <c r="S34" s="130"/>
      <c r="T34" s="134"/>
      <c r="U34" s="8"/>
      <c r="V34" s="8"/>
      <c r="W34" s="8"/>
    </row>
    <row r="35" spans="2:23" ht="12.75" customHeight="1" x14ac:dyDescent="0.3">
      <c r="B35" s="61" t="s">
        <v>55</v>
      </c>
      <c r="C35" s="61" t="s">
        <v>56</v>
      </c>
      <c r="D35" s="61" t="s">
        <v>57</v>
      </c>
      <c r="E35" s="61" t="s">
        <v>58</v>
      </c>
      <c r="F35" s="61" t="s">
        <v>59</v>
      </c>
      <c r="G35" s="61" t="s">
        <v>57</v>
      </c>
      <c r="H35" s="61" t="s">
        <v>58</v>
      </c>
      <c r="I35" s="61" t="s">
        <v>56</v>
      </c>
      <c r="J35" s="61" t="s">
        <v>57</v>
      </c>
      <c r="K35" s="61" t="s">
        <v>58</v>
      </c>
      <c r="L35" s="61" t="s">
        <v>56</v>
      </c>
      <c r="M35" s="61" t="s">
        <v>57</v>
      </c>
      <c r="N35" s="61" t="s">
        <v>58</v>
      </c>
      <c r="O35" s="61" t="s">
        <v>56</v>
      </c>
      <c r="P35" s="61" t="s">
        <v>57</v>
      </c>
      <c r="Q35" s="61" t="s">
        <v>58</v>
      </c>
      <c r="R35" s="61" t="s">
        <v>56</v>
      </c>
      <c r="S35" s="61" t="s">
        <v>57</v>
      </c>
      <c r="T35" s="61" t="s">
        <v>58</v>
      </c>
      <c r="U35" s="8"/>
      <c r="V35" s="8"/>
      <c r="W35" s="8"/>
    </row>
    <row r="36" spans="2:23" ht="12.75" customHeight="1" x14ac:dyDescent="0.25">
      <c r="B36" s="75"/>
      <c r="C36" s="75"/>
      <c r="D36" s="75"/>
      <c r="E36" s="76">
        <f t="shared" ref="E36:E53" si="8">D36*C36</f>
        <v>0</v>
      </c>
      <c r="F36" s="89">
        <f>'Proyeccion Ventas'!C5</f>
        <v>3</v>
      </c>
      <c r="G36" s="78" t="e">
        <f t="shared" ref="G36:G47" si="9">$E$60</f>
        <v>#DIV/0!</v>
      </c>
      <c r="H36" s="78" t="e">
        <f t="shared" ref="H36:H53" si="10">+G36*F36</f>
        <v>#DIV/0!</v>
      </c>
      <c r="I36" s="62"/>
      <c r="J36" s="79"/>
      <c r="K36" s="79">
        <f t="shared" ref="K36:K53" si="11">+J36*I36</f>
        <v>0</v>
      </c>
      <c r="L36" s="62"/>
      <c r="M36" s="79"/>
      <c r="N36" s="79">
        <f t="shared" ref="N36:N53" si="12">+M36*L36</f>
        <v>0</v>
      </c>
      <c r="O36" s="62"/>
      <c r="P36" s="79"/>
      <c r="Q36" s="79">
        <f t="shared" ref="Q36:Q53" si="13">+P36*O36</f>
        <v>0</v>
      </c>
      <c r="R36" s="62"/>
      <c r="S36" s="79"/>
      <c r="T36" s="79">
        <f t="shared" ref="T36:T53" si="14">+S36*R36</f>
        <v>0</v>
      </c>
      <c r="U36" s="8"/>
      <c r="V36" s="8"/>
      <c r="W36" s="8"/>
    </row>
    <row r="37" spans="2:23" ht="12.75" customHeight="1" x14ac:dyDescent="0.25">
      <c r="B37" s="75"/>
      <c r="C37" s="75"/>
      <c r="D37" s="75"/>
      <c r="E37" s="76">
        <f t="shared" si="8"/>
        <v>0</v>
      </c>
      <c r="F37" s="89">
        <f>'Proyeccion Ventas'!C6</f>
        <v>3</v>
      </c>
      <c r="G37" s="78" t="e">
        <f t="shared" si="9"/>
        <v>#DIV/0!</v>
      </c>
      <c r="H37" s="78" t="e">
        <f t="shared" si="10"/>
        <v>#DIV/0!</v>
      </c>
      <c r="I37" s="62"/>
      <c r="J37" s="79"/>
      <c r="K37" s="79">
        <f t="shared" si="11"/>
        <v>0</v>
      </c>
      <c r="L37" s="62"/>
      <c r="M37" s="79"/>
      <c r="N37" s="79">
        <f t="shared" si="12"/>
        <v>0</v>
      </c>
      <c r="O37" s="62"/>
      <c r="P37" s="79"/>
      <c r="Q37" s="79">
        <f t="shared" si="13"/>
        <v>0</v>
      </c>
      <c r="R37" s="62"/>
      <c r="S37" s="79"/>
      <c r="T37" s="79">
        <f t="shared" si="14"/>
        <v>0</v>
      </c>
      <c r="U37" s="8"/>
      <c r="V37" s="8"/>
      <c r="W37" s="8"/>
    </row>
    <row r="38" spans="2:23" ht="12.75" customHeight="1" x14ac:dyDescent="0.25">
      <c r="B38" s="75"/>
      <c r="C38" s="75"/>
      <c r="D38" s="75"/>
      <c r="E38" s="76">
        <f t="shared" si="8"/>
        <v>0</v>
      </c>
      <c r="F38" s="89">
        <f>'Proyeccion Ventas'!C7</f>
        <v>3</v>
      </c>
      <c r="G38" s="78" t="e">
        <f t="shared" si="9"/>
        <v>#DIV/0!</v>
      </c>
      <c r="H38" s="78" t="e">
        <f t="shared" si="10"/>
        <v>#DIV/0!</v>
      </c>
      <c r="I38" s="62"/>
      <c r="J38" s="79"/>
      <c r="K38" s="79">
        <f t="shared" si="11"/>
        <v>0</v>
      </c>
      <c r="L38" s="62"/>
      <c r="M38" s="79"/>
      <c r="N38" s="79">
        <f t="shared" si="12"/>
        <v>0</v>
      </c>
      <c r="O38" s="62"/>
      <c r="P38" s="79"/>
      <c r="Q38" s="79">
        <f t="shared" si="13"/>
        <v>0</v>
      </c>
      <c r="R38" s="62"/>
      <c r="S38" s="79"/>
      <c r="T38" s="79">
        <f t="shared" si="14"/>
        <v>0</v>
      </c>
      <c r="U38" s="8"/>
      <c r="V38" s="8"/>
      <c r="W38" s="8"/>
    </row>
    <row r="39" spans="2:23" ht="12.75" customHeight="1" x14ac:dyDescent="0.25">
      <c r="B39" s="80"/>
      <c r="C39" s="80"/>
      <c r="D39" s="80"/>
      <c r="E39" s="76">
        <f t="shared" si="8"/>
        <v>0</v>
      </c>
      <c r="F39" s="89">
        <f>'Proyeccion Ventas'!C8</f>
        <v>3</v>
      </c>
      <c r="G39" s="78" t="e">
        <f t="shared" si="9"/>
        <v>#DIV/0!</v>
      </c>
      <c r="H39" s="78" t="e">
        <f t="shared" si="10"/>
        <v>#DIV/0!</v>
      </c>
      <c r="I39" s="62"/>
      <c r="J39" s="79"/>
      <c r="K39" s="79">
        <f t="shared" si="11"/>
        <v>0</v>
      </c>
      <c r="L39" s="62"/>
      <c r="M39" s="79"/>
      <c r="N39" s="79">
        <f t="shared" si="12"/>
        <v>0</v>
      </c>
      <c r="O39" s="62"/>
      <c r="P39" s="79"/>
      <c r="Q39" s="79">
        <f t="shared" si="13"/>
        <v>0</v>
      </c>
      <c r="R39" s="62"/>
      <c r="S39" s="79"/>
      <c r="T39" s="79">
        <f t="shared" si="14"/>
        <v>0</v>
      </c>
      <c r="U39" s="8"/>
      <c r="V39" s="8"/>
      <c r="W39" s="8"/>
    </row>
    <row r="40" spans="2:23" ht="12.75" customHeight="1" x14ac:dyDescent="0.25">
      <c r="B40" s="80"/>
      <c r="C40" s="80"/>
      <c r="D40" s="80"/>
      <c r="E40" s="76">
        <f t="shared" si="8"/>
        <v>0</v>
      </c>
      <c r="F40" s="89">
        <f>'Proyeccion Ventas'!C9</f>
        <v>3</v>
      </c>
      <c r="G40" s="78" t="e">
        <f t="shared" si="9"/>
        <v>#DIV/0!</v>
      </c>
      <c r="H40" s="78" t="e">
        <f t="shared" si="10"/>
        <v>#DIV/0!</v>
      </c>
      <c r="I40" s="62"/>
      <c r="J40" s="79"/>
      <c r="K40" s="79">
        <f t="shared" si="11"/>
        <v>0</v>
      </c>
      <c r="L40" s="62"/>
      <c r="M40" s="79"/>
      <c r="N40" s="79">
        <f t="shared" si="12"/>
        <v>0</v>
      </c>
      <c r="O40" s="62"/>
      <c r="P40" s="79"/>
      <c r="Q40" s="79">
        <f t="shared" si="13"/>
        <v>0</v>
      </c>
      <c r="R40" s="62"/>
      <c r="S40" s="79"/>
      <c r="T40" s="79">
        <f t="shared" si="14"/>
        <v>0</v>
      </c>
      <c r="U40" s="8"/>
      <c r="V40" s="8"/>
      <c r="W40" s="8"/>
    </row>
    <row r="41" spans="2:23" ht="12.75" customHeight="1" x14ac:dyDescent="0.25">
      <c r="B41" s="80"/>
      <c r="C41" s="82"/>
      <c r="D41" s="82"/>
      <c r="E41" s="76">
        <f t="shared" si="8"/>
        <v>0</v>
      </c>
      <c r="F41" s="89">
        <f>'Proyeccion Ventas'!C10</f>
        <v>3</v>
      </c>
      <c r="G41" s="78" t="e">
        <f t="shared" si="9"/>
        <v>#DIV/0!</v>
      </c>
      <c r="H41" s="78" t="e">
        <f t="shared" si="10"/>
        <v>#DIV/0!</v>
      </c>
      <c r="I41" s="62"/>
      <c r="J41" s="79"/>
      <c r="K41" s="79">
        <f t="shared" si="11"/>
        <v>0</v>
      </c>
      <c r="L41" s="62"/>
      <c r="M41" s="79"/>
      <c r="N41" s="79">
        <f t="shared" si="12"/>
        <v>0</v>
      </c>
      <c r="O41" s="62"/>
      <c r="P41" s="79"/>
      <c r="Q41" s="79">
        <f t="shared" si="13"/>
        <v>0</v>
      </c>
      <c r="R41" s="62"/>
      <c r="S41" s="79"/>
      <c r="T41" s="79">
        <f t="shared" si="14"/>
        <v>0</v>
      </c>
      <c r="U41" s="8"/>
      <c r="V41" s="8"/>
      <c r="W41" s="8"/>
    </row>
    <row r="42" spans="2:23" ht="12.75" customHeight="1" x14ac:dyDescent="0.25">
      <c r="B42" s="80"/>
      <c r="C42" s="80"/>
      <c r="D42" s="80"/>
      <c r="E42" s="76">
        <f t="shared" si="8"/>
        <v>0</v>
      </c>
      <c r="F42" s="89">
        <f>'Proyeccion Ventas'!C11</f>
        <v>3</v>
      </c>
      <c r="G42" s="78" t="e">
        <f t="shared" si="9"/>
        <v>#DIV/0!</v>
      </c>
      <c r="H42" s="78" t="e">
        <f t="shared" si="10"/>
        <v>#DIV/0!</v>
      </c>
      <c r="I42" s="62"/>
      <c r="J42" s="79"/>
      <c r="K42" s="79">
        <f t="shared" si="11"/>
        <v>0</v>
      </c>
      <c r="L42" s="62"/>
      <c r="M42" s="79"/>
      <c r="N42" s="79">
        <f t="shared" si="12"/>
        <v>0</v>
      </c>
      <c r="O42" s="62"/>
      <c r="P42" s="79"/>
      <c r="Q42" s="79">
        <f t="shared" si="13"/>
        <v>0</v>
      </c>
      <c r="R42" s="62"/>
      <c r="S42" s="79"/>
      <c r="T42" s="79">
        <f t="shared" si="14"/>
        <v>0</v>
      </c>
      <c r="U42" s="8"/>
      <c r="V42" s="8"/>
      <c r="W42" s="8"/>
    </row>
    <row r="43" spans="2:23" ht="12.75" customHeight="1" x14ac:dyDescent="0.25">
      <c r="B43" s="80"/>
      <c r="C43" s="80"/>
      <c r="D43" s="80"/>
      <c r="E43" s="76">
        <f t="shared" si="8"/>
        <v>0</v>
      </c>
      <c r="F43" s="89">
        <f>'Proyeccion Ventas'!C12</f>
        <v>3</v>
      </c>
      <c r="G43" s="78" t="e">
        <f t="shared" si="9"/>
        <v>#DIV/0!</v>
      </c>
      <c r="H43" s="78" t="e">
        <f t="shared" si="10"/>
        <v>#DIV/0!</v>
      </c>
      <c r="I43" s="62"/>
      <c r="J43" s="79"/>
      <c r="K43" s="79">
        <f t="shared" si="11"/>
        <v>0</v>
      </c>
      <c r="L43" s="62"/>
      <c r="M43" s="79"/>
      <c r="N43" s="79">
        <f t="shared" si="12"/>
        <v>0</v>
      </c>
      <c r="O43" s="62"/>
      <c r="P43" s="79"/>
      <c r="Q43" s="79">
        <f t="shared" si="13"/>
        <v>0</v>
      </c>
      <c r="R43" s="62"/>
      <c r="S43" s="79"/>
      <c r="T43" s="79">
        <f t="shared" si="14"/>
        <v>0</v>
      </c>
      <c r="U43" s="8"/>
      <c r="V43" s="8"/>
      <c r="W43" s="8"/>
    </row>
    <row r="44" spans="2:23" ht="12.75" customHeight="1" x14ac:dyDescent="0.25">
      <c r="B44" s="80"/>
      <c r="C44" s="80"/>
      <c r="D44" s="80"/>
      <c r="E44" s="76">
        <f t="shared" si="8"/>
        <v>0</v>
      </c>
      <c r="F44" s="89">
        <f>'Proyeccion Ventas'!C13</f>
        <v>3</v>
      </c>
      <c r="G44" s="78" t="e">
        <f t="shared" si="9"/>
        <v>#DIV/0!</v>
      </c>
      <c r="H44" s="78" t="e">
        <f t="shared" si="10"/>
        <v>#DIV/0!</v>
      </c>
      <c r="I44" s="62"/>
      <c r="J44" s="79"/>
      <c r="K44" s="79">
        <f t="shared" si="11"/>
        <v>0</v>
      </c>
      <c r="L44" s="62"/>
      <c r="M44" s="79"/>
      <c r="N44" s="79">
        <f t="shared" si="12"/>
        <v>0</v>
      </c>
      <c r="O44" s="62"/>
      <c r="P44" s="79"/>
      <c r="Q44" s="79">
        <f t="shared" si="13"/>
        <v>0</v>
      </c>
      <c r="R44" s="62"/>
      <c r="S44" s="79"/>
      <c r="T44" s="79">
        <f t="shared" si="14"/>
        <v>0</v>
      </c>
      <c r="U44" s="8"/>
      <c r="V44" s="8"/>
      <c r="W44" s="8"/>
    </row>
    <row r="45" spans="2:23" ht="12.75" customHeight="1" x14ac:dyDescent="0.25">
      <c r="B45" s="80"/>
      <c r="C45" s="80"/>
      <c r="D45" s="80"/>
      <c r="E45" s="76">
        <f t="shared" si="8"/>
        <v>0</v>
      </c>
      <c r="F45" s="89">
        <f>'Proyeccion Ventas'!C14</f>
        <v>3</v>
      </c>
      <c r="G45" s="78" t="e">
        <f t="shared" si="9"/>
        <v>#DIV/0!</v>
      </c>
      <c r="H45" s="78" t="e">
        <f t="shared" si="10"/>
        <v>#DIV/0!</v>
      </c>
      <c r="I45" s="62"/>
      <c r="J45" s="79"/>
      <c r="K45" s="79">
        <f t="shared" si="11"/>
        <v>0</v>
      </c>
      <c r="L45" s="62"/>
      <c r="M45" s="79"/>
      <c r="N45" s="79">
        <f t="shared" si="12"/>
        <v>0</v>
      </c>
      <c r="O45" s="62"/>
      <c r="P45" s="79"/>
      <c r="Q45" s="79">
        <f t="shared" si="13"/>
        <v>0</v>
      </c>
      <c r="R45" s="62"/>
      <c r="S45" s="79"/>
      <c r="T45" s="79">
        <f t="shared" si="14"/>
        <v>0</v>
      </c>
      <c r="U45" s="8"/>
      <c r="V45" s="8"/>
      <c r="W45" s="8"/>
    </row>
    <row r="46" spans="2:23" ht="12.75" customHeight="1" x14ac:dyDescent="0.25">
      <c r="B46" s="80"/>
      <c r="C46" s="80"/>
      <c r="D46" s="80"/>
      <c r="E46" s="76">
        <f t="shared" si="8"/>
        <v>0</v>
      </c>
      <c r="F46" s="89">
        <f>'Proyeccion Ventas'!C15</f>
        <v>3</v>
      </c>
      <c r="G46" s="78" t="e">
        <f t="shared" si="9"/>
        <v>#DIV/0!</v>
      </c>
      <c r="H46" s="78" t="e">
        <f t="shared" si="10"/>
        <v>#DIV/0!</v>
      </c>
      <c r="I46" s="62"/>
      <c r="J46" s="79"/>
      <c r="K46" s="79">
        <f t="shared" si="11"/>
        <v>0</v>
      </c>
      <c r="L46" s="62"/>
      <c r="M46" s="79"/>
      <c r="N46" s="79">
        <f t="shared" si="12"/>
        <v>0</v>
      </c>
      <c r="O46" s="62"/>
      <c r="P46" s="79"/>
      <c r="Q46" s="79">
        <f t="shared" si="13"/>
        <v>0</v>
      </c>
      <c r="R46" s="62"/>
      <c r="S46" s="79"/>
      <c r="T46" s="79">
        <f t="shared" si="14"/>
        <v>0</v>
      </c>
      <c r="U46" s="8"/>
      <c r="V46" s="8"/>
      <c r="W46" s="8"/>
    </row>
    <row r="47" spans="2:23" ht="12.75" customHeight="1" x14ac:dyDescent="0.25">
      <c r="B47" s="80"/>
      <c r="C47" s="80"/>
      <c r="D47" s="80"/>
      <c r="E47" s="76">
        <f t="shared" si="8"/>
        <v>0</v>
      </c>
      <c r="F47" s="89">
        <f>'Proyeccion Ventas'!C16</f>
        <v>3</v>
      </c>
      <c r="G47" s="78" t="e">
        <f t="shared" si="9"/>
        <v>#DIV/0!</v>
      </c>
      <c r="H47" s="78" t="e">
        <f t="shared" si="10"/>
        <v>#DIV/0!</v>
      </c>
      <c r="I47" s="62"/>
      <c r="J47" s="79"/>
      <c r="K47" s="79">
        <f t="shared" si="11"/>
        <v>0</v>
      </c>
      <c r="L47" s="62"/>
      <c r="M47" s="79"/>
      <c r="N47" s="79">
        <f t="shared" si="12"/>
        <v>0</v>
      </c>
      <c r="O47" s="62"/>
      <c r="P47" s="79"/>
      <c r="Q47" s="79">
        <f t="shared" si="13"/>
        <v>0</v>
      </c>
      <c r="R47" s="62"/>
      <c r="S47" s="79"/>
      <c r="T47" s="79">
        <f t="shared" si="14"/>
        <v>0</v>
      </c>
      <c r="U47" s="8"/>
      <c r="V47" s="8"/>
      <c r="W47" s="8"/>
    </row>
    <row r="48" spans="2:23" ht="12.75" customHeight="1" x14ac:dyDescent="0.25">
      <c r="B48" s="80"/>
      <c r="C48" s="80"/>
      <c r="D48" s="80"/>
      <c r="E48" s="76">
        <f t="shared" si="8"/>
        <v>0</v>
      </c>
      <c r="F48" s="62"/>
      <c r="G48" s="79"/>
      <c r="H48" s="79">
        <f t="shared" si="10"/>
        <v>0</v>
      </c>
      <c r="I48" s="62"/>
      <c r="J48" s="79"/>
      <c r="K48" s="79">
        <f t="shared" si="11"/>
        <v>0</v>
      </c>
      <c r="L48" s="62"/>
      <c r="M48" s="79"/>
      <c r="N48" s="79">
        <f t="shared" si="12"/>
        <v>0</v>
      </c>
      <c r="O48" s="62"/>
      <c r="P48" s="79"/>
      <c r="Q48" s="79">
        <f t="shared" si="13"/>
        <v>0</v>
      </c>
      <c r="R48" s="62"/>
      <c r="S48" s="79"/>
      <c r="T48" s="79">
        <f t="shared" si="14"/>
        <v>0</v>
      </c>
      <c r="U48" s="8"/>
      <c r="V48" s="8"/>
      <c r="W48" s="8"/>
    </row>
    <row r="49" spans="2:23" ht="12.75" customHeight="1" x14ac:dyDescent="0.25">
      <c r="B49" s="80"/>
      <c r="C49" s="80"/>
      <c r="D49" s="80"/>
      <c r="E49" s="76">
        <f t="shared" si="8"/>
        <v>0</v>
      </c>
      <c r="F49" s="62"/>
      <c r="G49" s="79"/>
      <c r="H49" s="79">
        <f t="shared" si="10"/>
        <v>0</v>
      </c>
      <c r="I49" s="62"/>
      <c r="J49" s="79"/>
      <c r="K49" s="79">
        <f t="shared" si="11"/>
        <v>0</v>
      </c>
      <c r="L49" s="62"/>
      <c r="M49" s="79"/>
      <c r="N49" s="79">
        <f t="shared" si="12"/>
        <v>0</v>
      </c>
      <c r="O49" s="62"/>
      <c r="P49" s="79"/>
      <c r="Q49" s="79">
        <f t="shared" si="13"/>
        <v>0</v>
      </c>
      <c r="R49" s="62"/>
      <c r="S49" s="79"/>
      <c r="T49" s="79">
        <f t="shared" si="14"/>
        <v>0</v>
      </c>
      <c r="U49" s="8"/>
      <c r="V49" s="8"/>
      <c r="W49" s="8"/>
    </row>
    <row r="50" spans="2:23" ht="12.75" customHeight="1" x14ac:dyDescent="0.25">
      <c r="B50" s="80"/>
      <c r="C50" s="80"/>
      <c r="D50" s="80"/>
      <c r="E50" s="76">
        <f t="shared" si="8"/>
        <v>0</v>
      </c>
      <c r="F50" s="62"/>
      <c r="G50" s="79"/>
      <c r="H50" s="79">
        <f t="shared" si="10"/>
        <v>0</v>
      </c>
      <c r="I50" s="62"/>
      <c r="J50" s="79"/>
      <c r="K50" s="79">
        <f t="shared" si="11"/>
        <v>0</v>
      </c>
      <c r="L50" s="62"/>
      <c r="M50" s="79"/>
      <c r="N50" s="79">
        <f t="shared" si="12"/>
        <v>0</v>
      </c>
      <c r="O50" s="62"/>
      <c r="P50" s="79"/>
      <c r="Q50" s="79">
        <f t="shared" si="13"/>
        <v>0</v>
      </c>
      <c r="R50" s="62"/>
      <c r="S50" s="79"/>
      <c r="T50" s="79">
        <f t="shared" si="14"/>
        <v>0</v>
      </c>
      <c r="U50" s="8"/>
      <c r="V50" s="8"/>
      <c r="W50" s="8"/>
    </row>
    <row r="51" spans="2:23" ht="12.75" customHeight="1" x14ac:dyDescent="0.25">
      <c r="B51" s="80"/>
      <c r="C51" s="80"/>
      <c r="D51" s="80"/>
      <c r="E51" s="76">
        <f t="shared" si="8"/>
        <v>0</v>
      </c>
      <c r="F51" s="62"/>
      <c r="G51" s="79"/>
      <c r="H51" s="79">
        <f t="shared" si="10"/>
        <v>0</v>
      </c>
      <c r="I51" s="62"/>
      <c r="J51" s="79"/>
      <c r="K51" s="79">
        <f t="shared" si="11"/>
        <v>0</v>
      </c>
      <c r="L51" s="62"/>
      <c r="M51" s="79"/>
      <c r="N51" s="79">
        <f t="shared" si="12"/>
        <v>0</v>
      </c>
      <c r="O51" s="62"/>
      <c r="P51" s="79"/>
      <c r="Q51" s="79">
        <f t="shared" si="13"/>
        <v>0</v>
      </c>
      <c r="R51" s="62"/>
      <c r="S51" s="79"/>
      <c r="T51" s="79">
        <f t="shared" si="14"/>
        <v>0</v>
      </c>
      <c r="U51" s="8"/>
      <c r="V51" s="8"/>
      <c r="W51" s="8"/>
    </row>
    <row r="52" spans="2:23" ht="12.75" customHeight="1" x14ac:dyDescent="0.25">
      <c r="B52" s="80"/>
      <c r="C52" s="80"/>
      <c r="D52" s="80"/>
      <c r="E52" s="76">
        <f t="shared" si="8"/>
        <v>0</v>
      </c>
      <c r="F52" s="62"/>
      <c r="G52" s="79"/>
      <c r="H52" s="79">
        <f t="shared" si="10"/>
        <v>0</v>
      </c>
      <c r="I52" s="62"/>
      <c r="J52" s="79"/>
      <c r="K52" s="79">
        <f t="shared" si="11"/>
        <v>0</v>
      </c>
      <c r="L52" s="62"/>
      <c r="M52" s="79"/>
      <c r="N52" s="79">
        <f t="shared" si="12"/>
        <v>0</v>
      </c>
      <c r="O52" s="62"/>
      <c r="P52" s="79"/>
      <c r="Q52" s="79">
        <f t="shared" si="13"/>
        <v>0</v>
      </c>
      <c r="R52" s="62"/>
      <c r="S52" s="79"/>
      <c r="T52" s="79">
        <f t="shared" si="14"/>
        <v>0</v>
      </c>
      <c r="U52" s="8"/>
      <c r="V52" s="8"/>
      <c r="W52" s="8"/>
    </row>
    <row r="53" spans="2:23" ht="12.75" customHeight="1" x14ac:dyDescent="0.25">
      <c r="B53" s="80"/>
      <c r="C53" s="80"/>
      <c r="D53" s="80"/>
      <c r="E53" s="76">
        <f t="shared" si="8"/>
        <v>0</v>
      </c>
      <c r="F53" s="62"/>
      <c r="G53" s="79"/>
      <c r="H53" s="79">
        <f t="shared" si="10"/>
        <v>0</v>
      </c>
      <c r="I53" s="62"/>
      <c r="J53" s="79"/>
      <c r="K53" s="79">
        <f t="shared" si="11"/>
        <v>0</v>
      </c>
      <c r="L53" s="62"/>
      <c r="M53" s="79"/>
      <c r="N53" s="79">
        <f t="shared" si="12"/>
        <v>0</v>
      </c>
      <c r="O53" s="62"/>
      <c r="P53" s="79"/>
      <c r="Q53" s="79">
        <f t="shared" si="13"/>
        <v>0</v>
      </c>
      <c r="R53" s="62"/>
      <c r="S53" s="79"/>
      <c r="T53" s="79">
        <f t="shared" si="14"/>
        <v>0</v>
      </c>
      <c r="U53" s="8"/>
      <c r="V53" s="8"/>
      <c r="W53" s="8"/>
    </row>
    <row r="54" spans="2:23" ht="12.75" customHeight="1" x14ac:dyDescent="0.3">
      <c r="B54" s="70" t="s">
        <v>48</v>
      </c>
      <c r="C54" s="70"/>
      <c r="D54" s="70"/>
      <c r="E54" s="84">
        <f>+SUM(E36:E53)</f>
        <v>0</v>
      </c>
      <c r="F54" s="70"/>
      <c r="G54" s="70"/>
      <c r="H54" s="85" t="e">
        <f>SUM(H36:H53)</f>
        <v>#DIV/0!</v>
      </c>
      <c r="I54" s="70"/>
      <c r="J54" s="70"/>
      <c r="K54" s="85">
        <f>SUM(K36:K53)</f>
        <v>0</v>
      </c>
      <c r="L54" s="70"/>
      <c r="M54" s="70"/>
      <c r="N54" s="85">
        <f>SUM(N36:N53)</f>
        <v>0</v>
      </c>
      <c r="O54" s="70"/>
      <c r="P54" s="70"/>
      <c r="Q54" s="85">
        <f>SUM(Q36:Q53)</f>
        <v>0</v>
      </c>
      <c r="R54" s="70"/>
      <c r="S54" s="70"/>
      <c r="T54" s="85">
        <f>SUM(T36:T53)</f>
        <v>0</v>
      </c>
      <c r="U54" s="83"/>
      <c r="V54" s="83"/>
      <c r="W54" s="83"/>
    </row>
    <row r="55" spans="2:23" ht="12.75" customHeight="1" x14ac:dyDescent="0.25">
      <c r="B55" s="8"/>
      <c r="C55" s="8"/>
      <c r="D55" s="8"/>
      <c r="E55" s="8"/>
      <c r="F55" s="8"/>
      <c r="G55" s="8"/>
      <c r="H55" s="73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 spans="2:23" ht="12.75" customHeight="1" x14ac:dyDescent="0.25">
      <c r="H56" s="73"/>
    </row>
    <row r="57" spans="2:23" ht="12.75" customHeight="1" x14ac:dyDescent="0.25">
      <c r="B57" s="135" t="s">
        <v>62</v>
      </c>
      <c r="C57" s="130"/>
      <c r="D57" s="134"/>
      <c r="E57" s="86"/>
      <c r="H57" s="73"/>
    </row>
    <row r="58" spans="2:23" ht="12.75" customHeight="1" x14ac:dyDescent="0.25">
      <c r="H58" s="73"/>
    </row>
    <row r="59" spans="2:23" ht="12.75" customHeight="1" x14ac:dyDescent="0.25">
      <c r="H59" s="73"/>
    </row>
    <row r="60" spans="2:23" ht="12.75" customHeight="1" x14ac:dyDescent="0.25">
      <c r="B60" s="136" t="s">
        <v>63</v>
      </c>
      <c r="C60" s="128"/>
      <c r="D60" s="128"/>
      <c r="E60" s="88" t="e">
        <f>E54/E57</f>
        <v>#DIV/0!</v>
      </c>
      <c r="H60" s="73"/>
    </row>
    <row r="61" spans="2:23" ht="12.75" customHeight="1" x14ac:dyDescent="0.25">
      <c r="H61" s="73"/>
    </row>
    <row r="62" spans="2:23" ht="12.75" customHeight="1" x14ac:dyDescent="0.25">
      <c r="H62" s="73"/>
    </row>
    <row r="63" spans="2:23" ht="12.75" customHeight="1" x14ac:dyDescent="0.25">
      <c r="H63" s="73"/>
    </row>
    <row r="64" spans="2:23" ht="12.75" customHeight="1" x14ac:dyDescent="0.25">
      <c r="H64" s="73"/>
    </row>
    <row r="65" spans="8:8" ht="12.75" customHeight="1" x14ac:dyDescent="0.25">
      <c r="H65" s="73"/>
    </row>
    <row r="66" spans="8:8" ht="12.75" customHeight="1" x14ac:dyDescent="0.25">
      <c r="H66" s="73"/>
    </row>
    <row r="67" spans="8:8" ht="12.75" customHeight="1" x14ac:dyDescent="0.25">
      <c r="H67" s="73"/>
    </row>
    <row r="68" spans="8:8" ht="12.75" customHeight="1" x14ac:dyDescent="0.25">
      <c r="H68" s="73"/>
    </row>
    <row r="69" spans="8:8" ht="12.75" customHeight="1" x14ac:dyDescent="0.25">
      <c r="H69" s="73"/>
    </row>
    <row r="70" spans="8:8" ht="12.75" customHeight="1" x14ac:dyDescent="0.25">
      <c r="H70" s="73"/>
    </row>
    <row r="71" spans="8:8" ht="12.75" customHeight="1" x14ac:dyDescent="0.25">
      <c r="H71" s="73"/>
    </row>
    <row r="72" spans="8:8" ht="12.75" customHeight="1" x14ac:dyDescent="0.25">
      <c r="H72" s="73"/>
    </row>
    <row r="73" spans="8:8" ht="12.75" customHeight="1" x14ac:dyDescent="0.25">
      <c r="H73" s="73"/>
    </row>
    <row r="74" spans="8:8" ht="12.75" customHeight="1" x14ac:dyDescent="0.25">
      <c r="H74" s="73"/>
    </row>
    <row r="75" spans="8:8" ht="12.75" customHeight="1" x14ac:dyDescent="0.25">
      <c r="H75" s="73"/>
    </row>
    <row r="76" spans="8:8" ht="12.75" customHeight="1" x14ac:dyDescent="0.25">
      <c r="H76" s="73"/>
    </row>
    <row r="77" spans="8:8" ht="12.75" customHeight="1" x14ac:dyDescent="0.25">
      <c r="H77" s="73"/>
    </row>
    <row r="78" spans="8:8" ht="12.75" customHeight="1" x14ac:dyDescent="0.25">
      <c r="H78" s="73"/>
    </row>
    <row r="79" spans="8:8" ht="12.75" customHeight="1" x14ac:dyDescent="0.25">
      <c r="H79" s="73"/>
    </row>
    <row r="80" spans="8:8" ht="12.75" customHeight="1" x14ac:dyDescent="0.25">
      <c r="H80" s="73"/>
    </row>
    <row r="81" spans="8:8" ht="12.75" customHeight="1" x14ac:dyDescent="0.25">
      <c r="H81" s="73"/>
    </row>
    <row r="82" spans="8:8" ht="12.75" customHeight="1" x14ac:dyDescent="0.25">
      <c r="H82" s="73"/>
    </row>
    <row r="83" spans="8:8" ht="12.75" customHeight="1" x14ac:dyDescent="0.25">
      <c r="H83" s="73"/>
    </row>
    <row r="84" spans="8:8" ht="12.75" customHeight="1" x14ac:dyDescent="0.25">
      <c r="H84" s="73"/>
    </row>
    <row r="85" spans="8:8" ht="12.75" customHeight="1" x14ac:dyDescent="0.25">
      <c r="H85" s="73"/>
    </row>
    <row r="86" spans="8:8" ht="12.75" customHeight="1" x14ac:dyDescent="0.25">
      <c r="H86" s="73"/>
    </row>
    <row r="87" spans="8:8" ht="12.75" customHeight="1" x14ac:dyDescent="0.25">
      <c r="H87" s="73"/>
    </row>
    <row r="88" spans="8:8" ht="12.75" customHeight="1" x14ac:dyDescent="0.25">
      <c r="H88" s="73"/>
    </row>
    <row r="89" spans="8:8" ht="12.75" customHeight="1" x14ac:dyDescent="0.25">
      <c r="H89" s="73"/>
    </row>
    <row r="90" spans="8:8" ht="12.75" customHeight="1" x14ac:dyDescent="0.25">
      <c r="H90" s="73"/>
    </row>
    <row r="91" spans="8:8" ht="12.75" customHeight="1" x14ac:dyDescent="0.25">
      <c r="H91" s="73"/>
    </row>
    <row r="92" spans="8:8" ht="12.75" customHeight="1" x14ac:dyDescent="0.25">
      <c r="H92" s="73"/>
    </row>
    <row r="93" spans="8:8" ht="12.75" customHeight="1" x14ac:dyDescent="0.25">
      <c r="H93" s="73"/>
    </row>
    <row r="94" spans="8:8" ht="12.75" customHeight="1" x14ac:dyDescent="0.25">
      <c r="H94" s="73"/>
    </row>
    <row r="95" spans="8:8" ht="12.75" customHeight="1" x14ac:dyDescent="0.25">
      <c r="H95" s="73"/>
    </row>
    <row r="96" spans="8:8" ht="12.75" customHeight="1" x14ac:dyDescent="0.25">
      <c r="H96" s="73"/>
    </row>
    <row r="97" spans="8:8" ht="12.75" customHeight="1" x14ac:dyDescent="0.25">
      <c r="H97" s="73"/>
    </row>
    <row r="98" spans="8:8" ht="12.75" customHeight="1" x14ac:dyDescent="0.25">
      <c r="H98" s="73"/>
    </row>
    <row r="99" spans="8:8" ht="12.75" customHeight="1" x14ac:dyDescent="0.25">
      <c r="H99" s="73"/>
    </row>
    <row r="100" spans="8:8" ht="12.75" customHeight="1" x14ac:dyDescent="0.25">
      <c r="H100" s="73"/>
    </row>
    <row r="101" spans="8:8" ht="12.75" customHeight="1" x14ac:dyDescent="0.25">
      <c r="H101" s="73"/>
    </row>
    <row r="102" spans="8:8" ht="12.75" customHeight="1" x14ac:dyDescent="0.25">
      <c r="H102" s="73"/>
    </row>
    <row r="103" spans="8:8" ht="12.75" customHeight="1" x14ac:dyDescent="0.25">
      <c r="H103" s="73"/>
    </row>
    <row r="104" spans="8:8" ht="12.75" customHeight="1" x14ac:dyDescent="0.25">
      <c r="H104" s="73"/>
    </row>
    <row r="105" spans="8:8" ht="12.75" customHeight="1" x14ac:dyDescent="0.25">
      <c r="H105" s="73"/>
    </row>
    <row r="106" spans="8:8" ht="12.75" customHeight="1" x14ac:dyDescent="0.25">
      <c r="H106" s="73"/>
    </row>
    <row r="107" spans="8:8" ht="12.75" customHeight="1" x14ac:dyDescent="0.25">
      <c r="H107" s="73"/>
    </row>
    <row r="108" spans="8:8" ht="12.75" customHeight="1" x14ac:dyDescent="0.25">
      <c r="H108" s="73"/>
    </row>
    <row r="109" spans="8:8" ht="12.75" customHeight="1" x14ac:dyDescent="0.25">
      <c r="H109" s="73"/>
    </row>
    <row r="110" spans="8:8" ht="12.75" customHeight="1" x14ac:dyDescent="0.25">
      <c r="H110" s="73"/>
    </row>
    <row r="111" spans="8:8" ht="12.75" customHeight="1" x14ac:dyDescent="0.25">
      <c r="H111" s="73"/>
    </row>
    <row r="112" spans="8:8" ht="12.75" customHeight="1" x14ac:dyDescent="0.25">
      <c r="H112" s="73"/>
    </row>
    <row r="113" spans="8:8" ht="12.75" customHeight="1" x14ac:dyDescent="0.25">
      <c r="H113" s="73"/>
    </row>
    <row r="114" spans="8:8" ht="12.75" customHeight="1" x14ac:dyDescent="0.25">
      <c r="H114" s="73"/>
    </row>
    <row r="115" spans="8:8" ht="12.75" customHeight="1" x14ac:dyDescent="0.25">
      <c r="H115" s="73"/>
    </row>
    <row r="116" spans="8:8" ht="12.75" customHeight="1" x14ac:dyDescent="0.25">
      <c r="H116" s="73"/>
    </row>
    <row r="117" spans="8:8" ht="12.75" customHeight="1" x14ac:dyDescent="0.25">
      <c r="H117" s="73"/>
    </row>
    <row r="118" spans="8:8" ht="12.75" customHeight="1" x14ac:dyDescent="0.25">
      <c r="H118" s="73"/>
    </row>
    <row r="119" spans="8:8" ht="12.75" customHeight="1" x14ac:dyDescent="0.25">
      <c r="H119" s="73"/>
    </row>
    <row r="120" spans="8:8" ht="12.75" customHeight="1" x14ac:dyDescent="0.25">
      <c r="H120" s="73"/>
    </row>
    <row r="121" spans="8:8" ht="12.75" customHeight="1" x14ac:dyDescent="0.25">
      <c r="H121" s="73"/>
    </row>
    <row r="122" spans="8:8" ht="12.75" customHeight="1" x14ac:dyDescent="0.25">
      <c r="H122" s="73"/>
    </row>
    <row r="123" spans="8:8" ht="12.75" customHeight="1" x14ac:dyDescent="0.25">
      <c r="H123" s="73"/>
    </row>
    <row r="124" spans="8:8" ht="12.75" customHeight="1" x14ac:dyDescent="0.25">
      <c r="H124" s="73"/>
    </row>
    <row r="125" spans="8:8" ht="12.75" customHeight="1" x14ac:dyDescent="0.25">
      <c r="H125" s="73"/>
    </row>
    <row r="126" spans="8:8" ht="12.75" customHeight="1" x14ac:dyDescent="0.25">
      <c r="H126" s="73"/>
    </row>
    <row r="127" spans="8:8" ht="12.75" customHeight="1" x14ac:dyDescent="0.25">
      <c r="H127" s="73"/>
    </row>
    <row r="128" spans="8:8" ht="12.75" customHeight="1" x14ac:dyDescent="0.25">
      <c r="H128" s="73"/>
    </row>
    <row r="129" spans="8:8" ht="12.75" customHeight="1" x14ac:dyDescent="0.25">
      <c r="H129" s="73"/>
    </row>
    <row r="130" spans="8:8" ht="12.75" customHeight="1" x14ac:dyDescent="0.25">
      <c r="H130" s="73"/>
    </row>
    <row r="131" spans="8:8" ht="12.75" customHeight="1" x14ac:dyDescent="0.25">
      <c r="H131" s="73"/>
    </row>
    <row r="132" spans="8:8" ht="12.75" customHeight="1" x14ac:dyDescent="0.25">
      <c r="H132" s="73"/>
    </row>
    <row r="133" spans="8:8" ht="12.75" customHeight="1" x14ac:dyDescent="0.25">
      <c r="H133" s="73"/>
    </row>
    <row r="134" spans="8:8" ht="12.75" customHeight="1" x14ac:dyDescent="0.25">
      <c r="H134" s="73"/>
    </row>
    <row r="135" spans="8:8" ht="12.75" customHeight="1" x14ac:dyDescent="0.25">
      <c r="H135" s="73"/>
    </row>
    <row r="136" spans="8:8" ht="12.75" customHeight="1" x14ac:dyDescent="0.25">
      <c r="H136" s="73"/>
    </row>
    <row r="137" spans="8:8" ht="12.75" customHeight="1" x14ac:dyDescent="0.25">
      <c r="H137" s="73"/>
    </row>
    <row r="138" spans="8:8" ht="12.75" customHeight="1" x14ac:dyDescent="0.25">
      <c r="H138" s="73"/>
    </row>
    <row r="139" spans="8:8" ht="12.75" customHeight="1" x14ac:dyDescent="0.25">
      <c r="H139" s="73"/>
    </row>
    <row r="140" spans="8:8" ht="12.75" customHeight="1" x14ac:dyDescent="0.25">
      <c r="H140" s="73"/>
    </row>
    <row r="141" spans="8:8" ht="12.75" customHeight="1" x14ac:dyDescent="0.25">
      <c r="H141" s="73"/>
    </row>
    <row r="142" spans="8:8" ht="12.75" customHeight="1" x14ac:dyDescent="0.25">
      <c r="H142" s="73"/>
    </row>
    <row r="143" spans="8:8" ht="12.75" customHeight="1" x14ac:dyDescent="0.25">
      <c r="H143" s="73"/>
    </row>
    <row r="144" spans="8:8" ht="12.75" customHeight="1" x14ac:dyDescent="0.25">
      <c r="H144" s="73"/>
    </row>
    <row r="145" spans="8:8" ht="12.75" customHeight="1" x14ac:dyDescent="0.25">
      <c r="H145" s="73"/>
    </row>
    <row r="146" spans="8:8" ht="12.75" customHeight="1" x14ac:dyDescent="0.25">
      <c r="H146" s="73"/>
    </row>
    <row r="147" spans="8:8" ht="12.75" customHeight="1" x14ac:dyDescent="0.25">
      <c r="H147" s="73"/>
    </row>
    <row r="148" spans="8:8" ht="12.75" customHeight="1" x14ac:dyDescent="0.25">
      <c r="H148" s="73"/>
    </row>
    <row r="149" spans="8:8" ht="12.75" customHeight="1" x14ac:dyDescent="0.25">
      <c r="H149" s="73"/>
    </row>
    <row r="150" spans="8:8" ht="12.75" customHeight="1" x14ac:dyDescent="0.25">
      <c r="H150" s="73"/>
    </row>
    <row r="151" spans="8:8" ht="12.75" customHeight="1" x14ac:dyDescent="0.25">
      <c r="H151" s="73"/>
    </row>
    <row r="152" spans="8:8" ht="12.75" customHeight="1" x14ac:dyDescent="0.25">
      <c r="H152" s="73"/>
    </row>
    <row r="153" spans="8:8" ht="12.75" customHeight="1" x14ac:dyDescent="0.25">
      <c r="H153" s="73"/>
    </row>
    <row r="154" spans="8:8" ht="12.75" customHeight="1" x14ac:dyDescent="0.25">
      <c r="H154" s="73"/>
    </row>
    <row r="155" spans="8:8" ht="12.75" customHeight="1" x14ac:dyDescent="0.25">
      <c r="H155" s="73"/>
    </row>
    <row r="156" spans="8:8" ht="12.75" customHeight="1" x14ac:dyDescent="0.25">
      <c r="H156" s="73"/>
    </row>
    <row r="157" spans="8:8" ht="12.75" customHeight="1" x14ac:dyDescent="0.25">
      <c r="H157" s="73"/>
    </row>
    <row r="158" spans="8:8" ht="12.75" customHeight="1" x14ac:dyDescent="0.25">
      <c r="H158" s="73"/>
    </row>
    <row r="159" spans="8:8" ht="12.75" customHeight="1" x14ac:dyDescent="0.25">
      <c r="H159" s="73"/>
    </row>
    <row r="160" spans="8:8" ht="12.75" customHeight="1" x14ac:dyDescent="0.25">
      <c r="H160" s="73"/>
    </row>
    <row r="161" spans="8:8" ht="12.75" customHeight="1" x14ac:dyDescent="0.25">
      <c r="H161" s="73"/>
    </row>
    <row r="162" spans="8:8" ht="12.75" customHeight="1" x14ac:dyDescent="0.25">
      <c r="H162" s="73"/>
    </row>
    <row r="163" spans="8:8" ht="12.75" customHeight="1" x14ac:dyDescent="0.25">
      <c r="H163" s="73"/>
    </row>
    <row r="164" spans="8:8" ht="12.75" customHeight="1" x14ac:dyDescent="0.25">
      <c r="H164" s="73"/>
    </row>
    <row r="165" spans="8:8" ht="12.75" customHeight="1" x14ac:dyDescent="0.25">
      <c r="H165" s="73"/>
    </row>
    <row r="166" spans="8:8" ht="12.75" customHeight="1" x14ac:dyDescent="0.25">
      <c r="H166" s="73"/>
    </row>
    <row r="167" spans="8:8" ht="12.75" customHeight="1" x14ac:dyDescent="0.25">
      <c r="H167" s="73"/>
    </row>
    <row r="168" spans="8:8" ht="12.75" customHeight="1" x14ac:dyDescent="0.25">
      <c r="H168" s="73"/>
    </row>
    <row r="169" spans="8:8" ht="12.75" customHeight="1" x14ac:dyDescent="0.25">
      <c r="H169" s="73"/>
    </row>
    <row r="170" spans="8:8" ht="12.75" customHeight="1" x14ac:dyDescent="0.25">
      <c r="H170" s="73"/>
    </row>
    <row r="171" spans="8:8" ht="12.75" customHeight="1" x14ac:dyDescent="0.25">
      <c r="H171" s="73"/>
    </row>
    <row r="172" spans="8:8" ht="12.75" customHeight="1" x14ac:dyDescent="0.25">
      <c r="H172" s="73"/>
    </row>
    <row r="173" spans="8:8" ht="12.75" customHeight="1" x14ac:dyDescent="0.25">
      <c r="H173" s="73"/>
    </row>
    <row r="174" spans="8:8" ht="12.75" customHeight="1" x14ac:dyDescent="0.25">
      <c r="H174" s="73"/>
    </row>
    <row r="175" spans="8:8" ht="12.75" customHeight="1" x14ac:dyDescent="0.25">
      <c r="H175" s="73"/>
    </row>
    <row r="176" spans="8:8" ht="12.75" customHeight="1" x14ac:dyDescent="0.25">
      <c r="H176" s="73"/>
    </row>
    <row r="177" spans="8:8" ht="12.75" customHeight="1" x14ac:dyDescent="0.25">
      <c r="H177" s="73"/>
    </row>
    <row r="178" spans="8:8" ht="12.75" customHeight="1" x14ac:dyDescent="0.25">
      <c r="H178" s="73"/>
    </row>
    <row r="179" spans="8:8" ht="12.75" customHeight="1" x14ac:dyDescent="0.25">
      <c r="H179" s="73"/>
    </row>
    <row r="180" spans="8:8" ht="12.75" customHeight="1" x14ac:dyDescent="0.25">
      <c r="H180" s="73"/>
    </row>
    <row r="181" spans="8:8" ht="12.75" customHeight="1" x14ac:dyDescent="0.25">
      <c r="H181" s="73"/>
    </row>
    <row r="182" spans="8:8" ht="12.75" customHeight="1" x14ac:dyDescent="0.25">
      <c r="H182" s="73"/>
    </row>
    <row r="183" spans="8:8" ht="12.75" customHeight="1" x14ac:dyDescent="0.25">
      <c r="H183" s="73"/>
    </row>
    <row r="184" spans="8:8" ht="12.75" customHeight="1" x14ac:dyDescent="0.25">
      <c r="H184" s="73"/>
    </row>
    <row r="185" spans="8:8" ht="12.75" customHeight="1" x14ac:dyDescent="0.25">
      <c r="H185" s="73"/>
    </row>
    <row r="186" spans="8:8" ht="12.75" customHeight="1" x14ac:dyDescent="0.25">
      <c r="H186" s="73"/>
    </row>
    <row r="187" spans="8:8" ht="12.75" customHeight="1" x14ac:dyDescent="0.25">
      <c r="H187" s="73"/>
    </row>
    <row r="188" spans="8:8" ht="12.75" customHeight="1" x14ac:dyDescent="0.25">
      <c r="H188" s="73"/>
    </row>
    <row r="189" spans="8:8" ht="12.75" customHeight="1" x14ac:dyDescent="0.25">
      <c r="H189" s="73"/>
    </row>
    <row r="190" spans="8:8" ht="12.75" customHeight="1" x14ac:dyDescent="0.25">
      <c r="H190" s="73"/>
    </row>
    <row r="191" spans="8:8" ht="12.75" customHeight="1" x14ac:dyDescent="0.25">
      <c r="H191" s="73"/>
    </row>
    <row r="192" spans="8:8" ht="12.75" customHeight="1" x14ac:dyDescent="0.25">
      <c r="H192" s="73"/>
    </row>
    <row r="193" spans="8:8" ht="12.75" customHeight="1" x14ac:dyDescent="0.25">
      <c r="H193" s="73"/>
    </row>
    <row r="194" spans="8:8" ht="12.75" customHeight="1" x14ac:dyDescent="0.25">
      <c r="H194" s="73"/>
    </row>
    <row r="195" spans="8:8" ht="12.75" customHeight="1" x14ac:dyDescent="0.25">
      <c r="H195" s="73"/>
    </row>
    <row r="196" spans="8:8" ht="12.75" customHeight="1" x14ac:dyDescent="0.25">
      <c r="H196" s="73"/>
    </row>
    <row r="197" spans="8:8" ht="12.75" customHeight="1" x14ac:dyDescent="0.25">
      <c r="H197" s="73"/>
    </row>
    <row r="198" spans="8:8" ht="12.75" customHeight="1" x14ac:dyDescent="0.25">
      <c r="H198" s="73"/>
    </row>
    <row r="199" spans="8:8" ht="12.75" customHeight="1" x14ac:dyDescent="0.25">
      <c r="H199" s="73"/>
    </row>
    <row r="200" spans="8:8" ht="12.75" customHeight="1" x14ac:dyDescent="0.25">
      <c r="H200" s="73"/>
    </row>
    <row r="201" spans="8:8" ht="12.75" customHeight="1" x14ac:dyDescent="0.25">
      <c r="H201" s="73"/>
    </row>
    <row r="202" spans="8:8" ht="12.75" customHeight="1" x14ac:dyDescent="0.25">
      <c r="H202" s="73"/>
    </row>
    <row r="203" spans="8:8" ht="12.75" customHeight="1" x14ac:dyDescent="0.25">
      <c r="H203" s="73"/>
    </row>
    <row r="204" spans="8:8" ht="12.75" customHeight="1" x14ac:dyDescent="0.25">
      <c r="H204" s="73"/>
    </row>
    <row r="205" spans="8:8" ht="12.75" customHeight="1" x14ac:dyDescent="0.25">
      <c r="H205" s="73"/>
    </row>
    <row r="206" spans="8:8" ht="12.75" customHeight="1" x14ac:dyDescent="0.25">
      <c r="H206" s="73"/>
    </row>
    <row r="207" spans="8:8" ht="12.75" customHeight="1" x14ac:dyDescent="0.25">
      <c r="H207" s="73"/>
    </row>
    <row r="208" spans="8:8" ht="12.75" customHeight="1" x14ac:dyDescent="0.25">
      <c r="H208" s="73"/>
    </row>
    <row r="209" spans="8:8" ht="12.75" customHeight="1" x14ac:dyDescent="0.25">
      <c r="H209" s="73"/>
    </row>
    <row r="210" spans="8:8" ht="12.75" customHeight="1" x14ac:dyDescent="0.25">
      <c r="H210" s="73"/>
    </row>
    <row r="211" spans="8:8" ht="12.75" customHeight="1" x14ac:dyDescent="0.25">
      <c r="H211" s="73"/>
    </row>
    <row r="212" spans="8:8" ht="12.75" customHeight="1" x14ac:dyDescent="0.25">
      <c r="H212" s="73"/>
    </row>
    <row r="213" spans="8:8" ht="12.75" customHeight="1" x14ac:dyDescent="0.25">
      <c r="H213" s="73"/>
    </row>
    <row r="214" spans="8:8" ht="12.75" customHeight="1" x14ac:dyDescent="0.25">
      <c r="H214" s="73"/>
    </row>
    <row r="215" spans="8:8" ht="12.75" customHeight="1" x14ac:dyDescent="0.25">
      <c r="H215" s="73"/>
    </row>
    <row r="216" spans="8:8" ht="12.75" customHeight="1" x14ac:dyDescent="0.25">
      <c r="H216" s="73"/>
    </row>
    <row r="217" spans="8:8" ht="12.75" customHeight="1" x14ac:dyDescent="0.25">
      <c r="H217" s="73"/>
    </row>
    <row r="218" spans="8:8" ht="12.75" customHeight="1" x14ac:dyDescent="0.25">
      <c r="H218" s="73"/>
    </row>
    <row r="219" spans="8:8" ht="12.75" customHeight="1" x14ac:dyDescent="0.25">
      <c r="H219" s="73"/>
    </row>
    <row r="220" spans="8:8" ht="12.75" customHeight="1" x14ac:dyDescent="0.25">
      <c r="H220" s="73"/>
    </row>
    <row r="221" spans="8:8" ht="12.75" customHeight="1" x14ac:dyDescent="0.25">
      <c r="H221" s="73"/>
    </row>
    <row r="222" spans="8:8" ht="12.75" customHeight="1" x14ac:dyDescent="0.25">
      <c r="H222" s="73"/>
    </row>
    <row r="223" spans="8:8" ht="12.75" customHeight="1" x14ac:dyDescent="0.25">
      <c r="H223" s="73"/>
    </row>
    <row r="224" spans="8:8" ht="12.75" customHeight="1" x14ac:dyDescent="0.25">
      <c r="H224" s="73"/>
    </row>
    <row r="225" spans="8:8" ht="12.75" customHeight="1" x14ac:dyDescent="0.25">
      <c r="H225" s="73"/>
    </row>
    <row r="226" spans="8:8" ht="12.75" customHeight="1" x14ac:dyDescent="0.25">
      <c r="H226" s="73"/>
    </row>
    <row r="227" spans="8:8" ht="12.75" customHeight="1" x14ac:dyDescent="0.25">
      <c r="H227" s="73"/>
    </row>
    <row r="228" spans="8:8" ht="12.75" customHeight="1" x14ac:dyDescent="0.25">
      <c r="H228" s="73"/>
    </row>
    <row r="229" spans="8:8" ht="12.75" customHeight="1" x14ac:dyDescent="0.25">
      <c r="H229" s="73"/>
    </row>
    <row r="230" spans="8:8" ht="12.75" customHeight="1" x14ac:dyDescent="0.25">
      <c r="H230" s="73"/>
    </row>
    <row r="231" spans="8:8" ht="12.75" customHeight="1" x14ac:dyDescent="0.25">
      <c r="H231" s="73"/>
    </row>
    <row r="232" spans="8:8" ht="12.75" customHeight="1" x14ac:dyDescent="0.25">
      <c r="H232" s="73"/>
    </row>
    <row r="233" spans="8:8" ht="12.75" customHeight="1" x14ac:dyDescent="0.25">
      <c r="H233" s="73"/>
    </row>
    <row r="234" spans="8:8" ht="12.75" customHeight="1" x14ac:dyDescent="0.25">
      <c r="H234" s="73"/>
    </row>
    <row r="235" spans="8:8" ht="12.75" customHeight="1" x14ac:dyDescent="0.25">
      <c r="H235" s="73"/>
    </row>
    <row r="236" spans="8:8" ht="12.75" customHeight="1" x14ac:dyDescent="0.25">
      <c r="H236" s="73"/>
    </row>
    <row r="237" spans="8:8" ht="12.75" customHeight="1" x14ac:dyDescent="0.25">
      <c r="H237" s="73"/>
    </row>
    <row r="238" spans="8:8" ht="12.75" customHeight="1" x14ac:dyDescent="0.25">
      <c r="H238" s="73"/>
    </row>
    <row r="239" spans="8:8" ht="12.75" customHeight="1" x14ac:dyDescent="0.25">
      <c r="H239" s="73"/>
    </row>
    <row r="240" spans="8:8" ht="12.75" customHeight="1" x14ac:dyDescent="0.25">
      <c r="H240" s="73"/>
    </row>
    <row r="241" spans="8:8" ht="12.75" customHeight="1" x14ac:dyDescent="0.25">
      <c r="H241" s="73"/>
    </row>
    <row r="242" spans="8:8" ht="12.75" customHeight="1" x14ac:dyDescent="0.25">
      <c r="H242" s="73"/>
    </row>
    <row r="243" spans="8:8" ht="12.75" customHeight="1" x14ac:dyDescent="0.25">
      <c r="H243" s="73"/>
    </row>
    <row r="244" spans="8:8" ht="12.75" customHeight="1" x14ac:dyDescent="0.25">
      <c r="H244" s="73"/>
    </row>
    <row r="245" spans="8:8" ht="12.75" customHeight="1" x14ac:dyDescent="0.25">
      <c r="H245" s="73"/>
    </row>
    <row r="246" spans="8:8" ht="12.75" customHeight="1" x14ac:dyDescent="0.25">
      <c r="H246" s="73"/>
    </row>
    <row r="247" spans="8:8" ht="12.75" customHeight="1" x14ac:dyDescent="0.25">
      <c r="H247" s="73"/>
    </row>
    <row r="248" spans="8:8" ht="12.75" customHeight="1" x14ac:dyDescent="0.25">
      <c r="H248" s="73"/>
    </row>
    <row r="249" spans="8:8" ht="12.75" customHeight="1" x14ac:dyDescent="0.25">
      <c r="H249" s="73"/>
    </row>
    <row r="250" spans="8:8" ht="12.75" customHeight="1" x14ac:dyDescent="0.25">
      <c r="H250" s="73"/>
    </row>
    <row r="251" spans="8:8" ht="12.75" customHeight="1" x14ac:dyDescent="0.25">
      <c r="H251" s="73"/>
    </row>
    <row r="252" spans="8:8" ht="12.75" customHeight="1" x14ac:dyDescent="0.25">
      <c r="H252" s="73"/>
    </row>
    <row r="253" spans="8:8" ht="12.75" customHeight="1" x14ac:dyDescent="0.25">
      <c r="H253" s="73"/>
    </row>
    <row r="254" spans="8:8" ht="12.75" customHeight="1" x14ac:dyDescent="0.25">
      <c r="H254" s="73"/>
    </row>
    <row r="255" spans="8:8" ht="12.75" customHeight="1" x14ac:dyDescent="0.25">
      <c r="H255" s="73"/>
    </row>
    <row r="256" spans="8:8" ht="12.75" customHeight="1" x14ac:dyDescent="0.25">
      <c r="H256" s="73"/>
    </row>
    <row r="257" spans="8:8" ht="12.75" customHeight="1" x14ac:dyDescent="0.25">
      <c r="H257" s="73"/>
    </row>
    <row r="258" spans="8:8" ht="12.75" customHeight="1" x14ac:dyDescent="0.25">
      <c r="H258" s="73"/>
    </row>
    <row r="259" spans="8:8" ht="12.75" customHeight="1" x14ac:dyDescent="0.25">
      <c r="H259" s="73"/>
    </row>
    <row r="260" spans="8:8" ht="12.75" customHeight="1" x14ac:dyDescent="0.25">
      <c r="H260" s="73"/>
    </row>
    <row r="261" spans="8:8" ht="15.75" customHeight="1" x14ac:dyDescent="0.25"/>
    <row r="262" spans="8:8" ht="15.75" customHeight="1" x14ac:dyDescent="0.25"/>
    <row r="263" spans="8:8" ht="15.75" customHeight="1" x14ac:dyDescent="0.25"/>
    <row r="264" spans="8:8" ht="15.75" customHeight="1" x14ac:dyDescent="0.25"/>
    <row r="265" spans="8:8" ht="15.75" customHeight="1" x14ac:dyDescent="0.25"/>
    <row r="266" spans="8:8" ht="15.75" customHeight="1" x14ac:dyDescent="0.25"/>
    <row r="267" spans="8:8" ht="15.75" customHeight="1" x14ac:dyDescent="0.25"/>
    <row r="268" spans="8:8" ht="15.75" customHeight="1" x14ac:dyDescent="0.25"/>
    <row r="269" spans="8:8" ht="15.75" customHeight="1" x14ac:dyDescent="0.25"/>
    <row r="270" spans="8:8" ht="15.75" customHeight="1" x14ac:dyDescent="0.25"/>
    <row r="271" spans="8:8" ht="15.75" customHeight="1" x14ac:dyDescent="0.25"/>
    <row r="272" spans="8:8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8">
    <mergeCell ref="B60:D60"/>
    <mergeCell ref="B25:D25"/>
    <mergeCell ref="B28:D28"/>
    <mergeCell ref="B33:F33"/>
    <mergeCell ref="C34:E34"/>
    <mergeCell ref="F34:H34"/>
    <mergeCell ref="O2:Q2"/>
    <mergeCell ref="R2:T2"/>
    <mergeCell ref="O34:Q34"/>
    <mergeCell ref="R34:T34"/>
    <mergeCell ref="B57:D57"/>
    <mergeCell ref="I34:K34"/>
    <mergeCell ref="L34:N34"/>
    <mergeCell ref="B1:F1"/>
    <mergeCell ref="C2:E2"/>
    <mergeCell ref="F2:H2"/>
    <mergeCell ref="I2:K2"/>
    <mergeCell ref="L2:N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B5" sqref="B5:B10"/>
    </sheetView>
  </sheetViews>
  <sheetFormatPr baseColWidth="10" defaultColWidth="12.6640625" defaultRowHeight="15" customHeight="1" x14ac:dyDescent="0.25"/>
  <cols>
    <col min="1" max="1" width="33.44140625" customWidth="1"/>
    <col min="2" max="15" width="14.44140625" customWidth="1"/>
    <col min="16" max="16" width="15.44140625" customWidth="1"/>
    <col min="17" max="18" width="12.6640625" customWidth="1"/>
    <col min="19" max="26" width="10" customWidth="1"/>
  </cols>
  <sheetData>
    <row r="1" spans="1:26" x14ac:dyDescent="0.25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spans="1:26" ht="15.75" customHeight="1" x14ac:dyDescent="0.3">
      <c r="A2" s="56" t="s">
        <v>65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x14ac:dyDescent="0.25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 ht="15.75" customHeight="1" x14ac:dyDescent="0.3">
      <c r="A4" s="61" t="s">
        <v>55</v>
      </c>
      <c r="B4" s="61" t="s">
        <v>7</v>
      </c>
      <c r="C4" s="61" t="s">
        <v>8</v>
      </c>
      <c r="D4" s="61" t="s">
        <v>9</v>
      </c>
      <c r="E4" s="61" t="s">
        <v>10</v>
      </c>
      <c r="F4" s="61" t="s">
        <v>11</v>
      </c>
      <c r="G4" s="61" t="s">
        <v>12</v>
      </c>
      <c r="H4" s="61" t="s">
        <v>13</v>
      </c>
      <c r="I4" s="61" t="s">
        <v>14</v>
      </c>
      <c r="J4" s="61" t="s">
        <v>15</v>
      </c>
      <c r="K4" s="61" t="s">
        <v>16</v>
      </c>
      <c r="L4" s="61" t="s">
        <v>17</v>
      </c>
      <c r="M4" s="61" t="s">
        <v>18</v>
      </c>
      <c r="N4" s="61" t="s">
        <v>47</v>
      </c>
      <c r="O4" s="61" t="s">
        <v>49</v>
      </c>
      <c r="P4" s="61" t="s">
        <v>50</v>
      </c>
      <c r="Q4" s="61" t="s">
        <v>51</v>
      </c>
      <c r="R4" s="61" t="s">
        <v>52</v>
      </c>
      <c r="S4" s="58"/>
      <c r="T4" s="58"/>
      <c r="U4" s="58"/>
      <c r="V4" s="58"/>
      <c r="W4" s="58"/>
      <c r="X4" s="58"/>
      <c r="Y4" s="58"/>
      <c r="Z4" s="58"/>
    </row>
    <row r="5" spans="1:26" x14ac:dyDescent="0.25">
      <c r="A5" s="90" t="s">
        <v>60</v>
      </c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>
        <f t="shared" ref="N5:N11" si="0">+SUM(B5:M5)</f>
        <v>0</v>
      </c>
      <c r="O5" s="92">
        <f t="shared" ref="O5:R5" si="1">+N5*1.05</f>
        <v>0</v>
      </c>
      <c r="P5" s="92">
        <f t="shared" si="1"/>
        <v>0</v>
      </c>
      <c r="Q5" s="92">
        <f t="shared" si="1"/>
        <v>0</v>
      </c>
      <c r="R5" s="92">
        <f t="shared" si="1"/>
        <v>0</v>
      </c>
      <c r="S5" s="58"/>
      <c r="T5" s="58"/>
      <c r="U5" s="58"/>
      <c r="V5" s="58"/>
      <c r="W5" s="58"/>
      <c r="X5" s="58"/>
      <c r="Y5" s="58"/>
      <c r="Z5" s="58"/>
    </row>
    <row r="6" spans="1:26" x14ac:dyDescent="0.25">
      <c r="A6" s="90" t="s">
        <v>66</v>
      </c>
      <c r="B6" s="91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>
        <f t="shared" si="0"/>
        <v>0</v>
      </c>
      <c r="O6" s="92">
        <f t="shared" ref="O6:R6" si="2">+N6*1.05</f>
        <v>0</v>
      </c>
      <c r="P6" s="92">
        <f t="shared" si="2"/>
        <v>0</v>
      </c>
      <c r="Q6" s="92">
        <f t="shared" si="2"/>
        <v>0</v>
      </c>
      <c r="R6" s="92">
        <f t="shared" si="2"/>
        <v>0</v>
      </c>
      <c r="S6" s="58"/>
      <c r="T6" s="58"/>
      <c r="U6" s="58"/>
      <c r="V6" s="58"/>
      <c r="W6" s="58"/>
      <c r="X6" s="58"/>
      <c r="Y6" s="58"/>
      <c r="Z6" s="58"/>
    </row>
    <row r="7" spans="1:26" x14ac:dyDescent="0.25">
      <c r="A7" s="90" t="s">
        <v>67</v>
      </c>
      <c r="B7" s="91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>
        <f t="shared" si="0"/>
        <v>0</v>
      </c>
      <c r="O7" s="92">
        <f t="shared" ref="O7:R7" si="3">+N7*1.05</f>
        <v>0</v>
      </c>
      <c r="P7" s="92">
        <f t="shared" si="3"/>
        <v>0</v>
      </c>
      <c r="Q7" s="92">
        <f t="shared" si="3"/>
        <v>0</v>
      </c>
      <c r="R7" s="92">
        <f t="shared" si="3"/>
        <v>0</v>
      </c>
      <c r="S7" s="58"/>
      <c r="T7" s="58"/>
      <c r="U7" s="58"/>
      <c r="V7" s="58"/>
      <c r="W7" s="58"/>
      <c r="X7" s="58"/>
      <c r="Y7" s="58"/>
      <c r="Z7" s="58"/>
    </row>
    <row r="8" spans="1:26" x14ac:dyDescent="0.25">
      <c r="A8" s="90" t="s">
        <v>68</v>
      </c>
      <c r="B8" s="91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>
        <f t="shared" si="0"/>
        <v>0</v>
      </c>
      <c r="O8" s="92">
        <f t="shared" ref="O8:R8" si="4">+N8*1.05</f>
        <v>0</v>
      </c>
      <c r="P8" s="92">
        <f t="shared" si="4"/>
        <v>0</v>
      </c>
      <c r="Q8" s="92">
        <f t="shared" si="4"/>
        <v>0</v>
      </c>
      <c r="R8" s="92">
        <f t="shared" si="4"/>
        <v>0</v>
      </c>
      <c r="S8" s="58"/>
      <c r="T8" s="58"/>
      <c r="U8" s="58"/>
      <c r="V8" s="58"/>
      <c r="W8" s="58"/>
      <c r="X8" s="58"/>
      <c r="Y8" s="58"/>
      <c r="Z8" s="58"/>
    </row>
    <row r="9" spans="1:26" x14ac:dyDescent="0.25">
      <c r="A9" s="90"/>
      <c r="B9" s="91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>
        <f t="shared" si="0"/>
        <v>0</v>
      </c>
      <c r="O9" s="92">
        <f t="shared" ref="O9:R9" si="5">+N9*1.05</f>
        <v>0</v>
      </c>
      <c r="P9" s="92">
        <f t="shared" si="5"/>
        <v>0</v>
      </c>
      <c r="Q9" s="92">
        <f t="shared" si="5"/>
        <v>0</v>
      </c>
      <c r="R9" s="92">
        <f t="shared" si="5"/>
        <v>0</v>
      </c>
      <c r="S9" s="58"/>
      <c r="T9" s="58"/>
      <c r="U9" s="58"/>
      <c r="V9" s="58"/>
      <c r="W9" s="58"/>
      <c r="X9" s="58"/>
      <c r="Y9" s="58"/>
      <c r="Z9" s="58"/>
    </row>
    <row r="10" spans="1:26" x14ac:dyDescent="0.25">
      <c r="A10" s="63"/>
      <c r="B10" s="91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>
        <f t="shared" si="0"/>
        <v>0</v>
      </c>
      <c r="O10" s="92">
        <f t="shared" ref="O10:R10" si="6">+N10*1.05</f>
        <v>0</v>
      </c>
      <c r="P10" s="92">
        <f t="shared" si="6"/>
        <v>0</v>
      </c>
      <c r="Q10" s="92">
        <f t="shared" si="6"/>
        <v>0</v>
      </c>
      <c r="R10" s="92">
        <f t="shared" si="6"/>
        <v>0</v>
      </c>
      <c r="S10" s="58"/>
      <c r="T10" s="58"/>
      <c r="U10" s="58"/>
      <c r="V10" s="58"/>
      <c r="W10" s="58"/>
      <c r="X10" s="58"/>
      <c r="Y10" s="58"/>
      <c r="Z10" s="58"/>
    </row>
    <row r="11" spans="1:26" x14ac:dyDescent="0.25">
      <c r="A11" s="63"/>
      <c r="B11" s="91"/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>
        <f t="shared" si="0"/>
        <v>0</v>
      </c>
      <c r="O11" s="92">
        <f t="shared" ref="O11:R11" si="7">+N11*1.05</f>
        <v>0</v>
      </c>
      <c r="P11" s="92">
        <f t="shared" si="7"/>
        <v>0</v>
      </c>
      <c r="Q11" s="92">
        <f t="shared" si="7"/>
        <v>0</v>
      </c>
      <c r="R11" s="92">
        <f t="shared" si="7"/>
        <v>0</v>
      </c>
      <c r="S11" s="58"/>
      <c r="T11" s="58"/>
      <c r="U11" s="58"/>
      <c r="V11" s="58"/>
      <c r="W11" s="58"/>
      <c r="X11" s="58"/>
      <c r="Y11" s="58"/>
      <c r="Z11" s="58"/>
    </row>
    <row r="12" spans="1:26" x14ac:dyDescent="0.25">
      <c r="A12" s="90"/>
      <c r="B12" s="91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58"/>
      <c r="T12" s="58"/>
      <c r="U12" s="58"/>
      <c r="V12" s="58"/>
      <c r="W12" s="58"/>
      <c r="X12" s="58"/>
      <c r="Y12" s="58"/>
      <c r="Z12" s="58"/>
    </row>
    <row r="13" spans="1:26" x14ac:dyDescent="0.25">
      <c r="A13" s="90"/>
      <c r="B13" s="91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58"/>
      <c r="T13" s="58"/>
      <c r="U13" s="58"/>
      <c r="V13" s="58"/>
      <c r="W13" s="58"/>
      <c r="X13" s="58"/>
      <c r="Y13" s="58"/>
      <c r="Z13" s="58"/>
    </row>
    <row r="14" spans="1:26" x14ac:dyDescent="0.25">
      <c r="A14" s="90"/>
      <c r="B14" s="91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58"/>
      <c r="T14" s="58"/>
      <c r="U14" s="58"/>
      <c r="V14" s="58"/>
      <c r="W14" s="58"/>
      <c r="X14" s="58"/>
      <c r="Y14" s="58"/>
      <c r="Z14" s="58"/>
    </row>
    <row r="15" spans="1:26" x14ac:dyDescent="0.25">
      <c r="A15" s="90"/>
      <c r="B15" s="91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58"/>
      <c r="T15" s="58"/>
      <c r="U15" s="58"/>
      <c r="V15" s="58"/>
      <c r="W15" s="58"/>
      <c r="X15" s="58"/>
      <c r="Y15" s="58"/>
      <c r="Z15" s="58"/>
    </row>
    <row r="16" spans="1:26" x14ac:dyDescent="0.25">
      <c r="A16" s="90"/>
      <c r="B16" s="91"/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>
        <f t="shared" ref="N16:N20" si="8">+SUM(B16:M16)</f>
        <v>0</v>
      </c>
      <c r="O16" s="92">
        <f t="shared" ref="O16:R16" si="9">+N16*1.05</f>
        <v>0</v>
      </c>
      <c r="P16" s="92">
        <f t="shared" si="9"/>
        <v>0</v>
      </c>
      <c r="Q16" s="92">
        <f t="shared" si="9"/>
        <v>0</v>
      </c>
      <c r="R16" s="92">
        <f t="shared" si="9"/>
        <v>0</v>
      </c>
      <c r="S16" s="58"/>
      <c r="T16" s="58"/>
      <c r="U16" s="58"/>
      <c r="V16" s="58"/>
      <c r="W16" s="58"/>
      <c r="X16" s="58"/>
      <c r="Y16" s="58"/>
      <c r="Z16" s="58"/>
    </row>
    <row r="17" spans="1:26" x14ac:dyDescent="0.25">
      <c r="A17" s="90"/>
      <c r="B17" s="91"/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>
        <f t="shared" si="8"/>
        <v>0</v>
      </c>
      <c r="O17" s="92">
        <f t="shared" ref="O17:R17" si="10">+N17*1.05</f>
        <v>0</v>
      </c>
      <c r="P17" s="92">
        <f t="shared" si="10"/>
        <v>0</v>
      </c>
      <c r="Q17" s="92">
        <f t="shared" si="10"/>
        <v>0</v>
      </c>
      <c r="R17" s="92">
        <f t="shared" si="10"/>
        <v>0</v>
      </c>
      <c r="S17" s="58"/>
      <c r="T17" s="58"/>
      <c r="U17" s="58"/>
      <c r="V17" s="58"/>
      <c r="W17" s="58"/>
      <c r="X17" s="58"/>
      <c r="Y17" s="58"/>
      <c r="Z17" s="58"/>
    </row>
    <row r="18" spans="1:26" x14ac:dyDescent="0.25">
      <c r="A18" s="90"/>
      <c r="B18" s="91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>
        <f t="shared" si="8"/>
        <v>0</v>
      </c>
      <c r="O18" s="92">
        <f t="shared" ref="O18:R18" si="11">+N18*1.05</f>
        <v>0</v>
      </c>
      <c r="P18" s="92">
        <f t="shared" si="11"/>
        <v>0</v>
      </c>
      <c r="Q18" s="92">
        <f t="shared" si="11"/>
        <v>0</v>
      </c>
      <c r="R18" s="92">
        <f t="shared" si="11"/>
        <v>0</v>
      </c>
      <c r="S18" s="58"/>
      <c r="T18" s="58"/>
      <c r="U18" s="58"/>
      <c r="V18" s="58"/>
      <c r="W18" s="58"/>
      <c r="X18" s="58"/>
      <c r="Y18" s="58"/>
      <c r="Z18" s="58"/>
    </row>
    <row r="19" spans="1:26" x14ac:dyDescent="0.25">
      <c r="A19" s="90"/>
      <c r="B19" s="91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>
        <f t="shared" si="8"/>
        <v>0</v>
      </c>
      <c r="O19" s="92">
        <f t="shared" ref="O19:R19" si="12">+N19*1.05</f>
        <v>0</v>
      </c>
      <c r="P19" s="92">
        <f t="shared" si="12"/>
        <v>0</v>
      </c>
      <c r="Q19" s="92">
        <f t="shared" si="12"/>
        <v>0</v>
      </c>
      <c r="R19" s="92">
        <f t="shared" si="12"/>
        <v>0</v>
      </c>
      <c r="S19" s="58"/>
      <c r="T19" s="58"/>
      <c r="U19" s="58"/>
      <c r="V19" s="58"/>
      <c r="W19" s="58"/>
      <c r="X19" s="58"/>
      <c r="Y19" s="58"/>
      <c r="Z19" s="58"/>
    </row>
    <row r="20" spans="1:26" ht="15.75" customHeight="1" x14ac:dyDescent="0.3">
      <c r="A20" s="93" t="s">
        <v>48</v>
      </c>
      <c r="B20" s="94">
        <f>SUM(B5:B19)</f>
        <v>0</v>
      </c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2">
        <f t="shared" si="8"/>
        <v>0</v>
      </c>
      <c r="O20" s="95">
        <f t="shared" ref="O20:R20" si="13">SUM(O5:O19)</f>
        <v>0</v>
      </c>
      <c r="P20" s="95">
        <f t="shared" si="13"/>
        <v>0</v>
      </c>
      <c r="Q20" s="95">
        <f t="shared" si="13"/>
        <v>0</v>
      </c>
      <c r="R20" s="95">
        <f t="shared" si="13"/>
        <v>0</v>
      </c>
      <c r="S20" s="58"/>
      <c r="T20" s="58"/>
      <c r="U20" s="58"/>
      <c r="V20" s="58"/>
      <c r="W20" s="58"/>
      <c r="X20" s="58"/>
      <c r="Y20" s="58"/>
      <c r="Z20" s="58"/>
    </row>
    <row r="21" spans="1:26" ht="15.75" customHeight="1" x14ac:dyDescent="0.3">
      <c r="A21" s="96"/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58"/>
      <c r="T21" s="58"/>
      <c r="U21" s="58"/>
      <c r="V21" s="58"/>
      <c r="W21" s="58"/>
      <c r="X21" s="58"/>
      <c r="Y21" s="58"/>
      <c r="Z21" s="58"/>
    </row>
    <row r="22" spans="1:26" ht="15.75" customHeight="1" x14ac:dyDescent="0.25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spans="1:26" ht="15.75" customHeight="1" x14ac:dyDescent="0.25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5.75" customHeight="1" x14ac:dyDescent="0.25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5.75" customHeight="1" x14ac:dyDescent="0.25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15.75" customHeight="1" x14ac:dyDescent="0.25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5.75" customHeight="1" x14ac:dyDescent="0.25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15.75" customHeight="1" x14ac:dyDescent="0.25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15.75" customHeight="1" x14ac:dyDescent="0.25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5.75" customHeight="1" x14ac:dyDescent="0.25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15.75" customHeight="1" x14ac:dyDescent="0.25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15.75" customHeight="1" x14ac:dyDescent="0.25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spans="1:26" ht="15.75" customHeight="1" x14ac:dyDescent="0.25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spans="1:26" ht="15.75" customHeight="1" x14ac:dyDescent="0.25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spans="1:26" ht="15.75" customHeight="1" x14ac:dyDescent="0.25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spans="1:26" ht="15.75" customHeight="1" x14ac:dyDescent="0.25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spans="1:26" ht="15.75" customHeight="1" x14ac:dyDescent="0.25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spans="1:26" ht="15.75" customHeight="1" x14ac:dyDescent="0.25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spans="1:26" ht="15.75" customHeight="1" x14ac:dyDescent="0.25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spans="1:26" ht="15.75" customHeight="1" x14ac:dyDescent="0.25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spans="1:26" ht="15.75" customHeight="1" x14ac:dyDescent="0.25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spans="1:26" ht="15.75" customHeight="1" x14ac:dyDescent="0.25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spans="1:26" ht="15.75" customHeight="1" x14ac:dyDescent="0.25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spans="1:26" ht="15.75" customHeight="1" x14ac:dyDescent="0.25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1:26" ht="15.75" customHeight="1" x14ac:dyDescent="0.25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spans="1:26" ht="15.75" customHeight="1" x14ac:dyDescent="0.25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spans="1:26" ht="15.75" customHeight="1" x14ac:dyDescent="0.25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spans="1:26" ht="15.75" customHeight="1" x14ac:dyDescent="0.25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spans="1:26" ht="15.75" customHeight="1" x14ac:dyDescent="0.25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spans="1:26" ht="15.75" customHeight="1" x14ac:dyDescent="0.25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spans="1:26" ht="15.75" customHeight="1" x14ac:dyDescent="0.25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spans="1:26" ht="15.75" customHeight="1" x14ac:dyDescent="0.25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spans="1:26" ht="15.75" customHeight="1" x14ac:dyDescent="0.25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spans="1:26" ht="15.75" customHeight="1" x14ac:dyDescent="0.25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1:26" ht="15.75" customHeight="1" x14ac:dyDescent="0.25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spans="1:26" ht="15.75" customHeight="1" x14ac:dyDescent="0.25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spans="1:26" ht="15.75" customHeight="1" x14ac:dyDescent="0.25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spans="1:26" ht="15.75" customHeight="1" x14ac:dyDescent="0.25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spans="1:26" ht="15.75" customHeight="1" x14ac:dyDescent="0.25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spans="1:26" ht="15.75" customHeight="1" x14ac:dyDescent="0.25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1:26" ht="15.75" customHeight="1" x14ac:dyDescent="0.25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spans="1:26" ht="15.75" customHeight="1" x14ac:dyDescent="0.25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6" ht="15.75" customHeight="1" x14ac:dyDescent="0.25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 ht="15.75" customHeight="1" x14ac:dyDescent="0.25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spans="1:26" ht="15.75" customHeight="1" x14ac:dyDescent="0.25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spans="1:26" ht="15.75" customHeight="1" x14ac:dyDescent="0.25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spans="1:26" ht="15.75" customHeight="1" x14ac:dyDescent="0.25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spans="1:26" ht="15.75" customHeight="1" x14ac:dyDescent="0.25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spans="1:26" ht="15.75" customHeight="1" x14ac:dyDescent="0.25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spans="1:26" ht="15.75" customHeight="1" x14ac:dyDescent="0.25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spans="1:26" ht="15.75" customHeight="1" x14ac:dyDescent="0.25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spans="1:26" ht="15.75" customHeight="1" x14ac:dyDescent="0.25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spans="1:26" ht="15.75" customHeight="1" x14ac:dyDescent="0.25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spans="1:26" ht="15.75" customHeight="1" x14ac:dyDescent="0.25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spans="1:26" ht="15.75" customHeight="1" x14ac:dyDescent="0.25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 ht="15.75" customHeight="1" x14ac:dyDescent="0.25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 ht="15.75" customHeight="1" x14ac:dyDescent="0.25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 ht="15.75" customHeight="1" x14ac:dyDescent="0.25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 ht="15.75" customHeight="1" x14ac:dyDescent="0.25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 ht="15.75" customHeight="1" x14ac:dyDescent="0.25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 ht="15.75" customHeight="1" x14ac:dyDescent="0.25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 ht="15.75" customHeight="1" x14ac:dyDescent="0.25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 ht="15.75" customHeight="1" x14ac:dyDescent="0.25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 ht="15.75" customHeight="1" x14ac:dyDescent="0.25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 ht="15.75" customHeight="1" x14ac:dyDescent="0.25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 ht="15.75" customHeight="1" x14ac:dyDescent="0.25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 ht="15.75" customHeight="1" x14ac:dyDescent="0.25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 ht="15.75" customHeight="1" x14ac:dyDescent="0.25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 ht="15.75" customHeight="1" x14ac:dyDescent="0.25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 ht="15.75" customHeight="1" x14ac:dyDescent="0.25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 ht="15.75" customHeight="1" x14ac:dyDescent="0.25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 ht="15.75" customHeight="1" x14ac:dyDescent="0.25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 ht="15.75" customHeight="1" x14ac:dyDescent="0.25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 ht="15.75" customHeight="1" x14ac:dyDescent="0.25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 ht="15.75" customHeight="1" x14ac:dyDescent="0.25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 ht="15.75" customHeight="1" x14ac:dyDescent="0.25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 ht="15.75" customHeight="1" x14ac:dyDescent="0.25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 ht="15.75" customHeight="1" x14ac:dyDescent="0.25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 ht="15.75" customHeight="1" x14ac:dyDescent="0.25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1:26" ht="15.75" customHeight="1" x14ac:dyDescent="0.25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spans="1:26" ht="15.75" customHeight="1" x14ac:dyDescent="0.25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spans="1:26" ht="15.75" customHeight="1" x14ac:dyDescent="0.25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spans="1:26" ht="15.75" customHeight="1" x14ac:dyDescent="0.25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spans="1:26" ht="15.75" customHeight="1" x14ac:dyDescent="0.25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spans="1:26" ht="15.75" customHeight="1" x14ac:dyDescent="0.25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spans="1:26" ht="15.75" customHeight="1" x14ac:dyDescent="0.25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spans="1:26" ht="15.75" customHeight="1" x14ac:dyDescent="0.25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spans="1:26" ht="15.75" customHeight="1" x14ac:dyDescent="0.25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spans="1:26" ht="15.75" customHeight="1" x14ac:dyDescent="0.25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spans="1:26" ht="15.75" customHeight="1" x14ac:dyDescent="0.25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spans="1:26" ht="15.75" customHeight="1" x14ac:dyDescent="0.25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spans="1:26" ht="15.75" customHeight="1" x14ac:dyDescent="0.25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spans="1:26" ht="15.75" customHeight="1" x14ac:dyDescent="0.25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spans="1:26" ht="15.75" customHeight="1" x14ac:dyDescent="0.25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spans="1:26" ht="15.75" customHeight="1" x14ac:dyDescent="0.25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spans="1:26" ht="15.75" customHeight="1" x14ac:dyDescent="0.25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spans="1:26" ht="15.75" customHeight="1" x14ac:dyDescent="0.25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spans="1:26" ht="15.75" customHeight="1" x14ac:dyDescent="0.25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spans="1:26" ht="15.75" customHeight="1" x14ac:dyDescent="0.25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spans="1:26" ht="15.75" customHeight="1" x14ac:dyDescent="0.25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spans="1:26" ht="15.75" customHeight="1" x14ac:dyDescent="0.25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spans="1:26" ht="15.75" customHeight="1" x14ac:dyDescent="0.25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spans="1:26" ht="15.75" customHeight="1" x14ac:dyDescent="0.25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spans="1:26" ht="15.75" customHeight="1" x14ac:dyDescent="0.25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spans="1:26" ht="15.75" customHeight="1" x14ac:dyDescent="0.25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spans="1:26" ht="15.75" customHeight="1" x14ac:dyDescent="0.25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spans="1:26" ht="15.75" customHeight="1" x14ac:dyDescent="0.25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spans="1:26" ht="15.75" customHeight="1" x14ac:dyDescent="0.25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spans="1:26" ht="15.75" customHeight="1" x14ac:dyDescent="0.25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spans="1:26" ht="15.75" customHeight="1" x14ac:dyDescent="0.25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spans="1:26" ht="15.75" customHeight="1" x14ac:dyDescent="0.25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spans="1:26" ht="15.75" customHeight="1" x14ac:dyDescent="0.25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spans="1:26" ht="15.75" customHeight="1" x14ac:dyDescent="0.25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spans="1:26" ht="15.75" customHeight="1" x14ac:dyDescent="0.25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spans="1:26" ht="15.75" customHeight="1" x14ac:dyDescent="0.25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spans="1:26" ht="15.75" customHeight="1" x14ac:dyDescent="0.25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spans="1:26" ht="15.75" customHeight="1" x14ac:dyDescent="0.25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spans="1:26" ht="15.75" customHeight="1" x14ac:dyDescent="0.25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spans="1:26" ht="15.75" customHeight="1" x14ac:dyDescent="0.25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spans="1:26" ht="15.75" customHeight="1" x14ac:dyDescent="0.25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spans="1:26" ht="15.75" customHeight="1" x14ac:dyDescent="0.25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spans="1:26" ht="15.75" customHeight="1" x14ac:dyDescent="0.25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spans="1:26" ht="15.75" customHeight="1" x14ac:dyDescent="0.25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spans="1:26" ht="15.75" customHeight="1" x14ac:dyDescent="0.25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spans="1:26" ht="15.75" customHeight="1" x14ac:dyDescent="0.25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spans="1:26" ht="15.75" customHeight="1" x14ac:dyDescent="0.25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spans="1:26" ht="15.75" customHeight="1" x14ac:dyDescent="0.25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spans="1:26" ht="15.75" customHeight="1" x14ac:dyDescent="0.25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spans="1:26" ht="15.75" customHeight="1" x14ac:dyDescent="0.25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spans="1:26" ht="15.75" customHeight="1" x14ac:dyDescent="0.25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spans="1:26" ht="15.75" customHeight="1" x14ac:dyDescent="0.25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spans="1:26" ht="15.75" customHeight="1" x14ac:dyDescent="0.25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spans="1:26" ht="15.75" customHeight="1" x14ac:dyDescent="0.25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spans="1:26" ht="15.75" customHeight="1" x14ac:dyDescent="0.25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spans="1:26" ht="15.75" customHeight="1" x14ac:dyDescent="0.25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spans="1:26" ht="15.75" customHeight="1" x14ac:dyDescent="0.25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spans="1:26" ht="15.75" customHeight="1" x14ac:dyDescent="0.25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spans="1:26" ht="15.75" customHeight="1" x14ac:dyDescent="0.25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spans="1:26" ht="15.75" customHeight="1" x14ac:dyDescent="0.25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spans="1:26" ht="15.75" customHeight="1" x14ac:dyDescent="0.25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spans="1:26" ht="15.75" customHeight="1" x14ac:dyDescent="0.25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spans="1:26" ht="15.75" customHeight="1" x14ac:dyDescent="0.25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spans="1:26" ht="15.75" customHeight="1" x14ac:dyDescent="0.25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spans="1:26" ht="15.75" customHeight="1" x14ac:dyDescent="0.25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spans="1:26" ht="15.75" customHeight="1" x14ac:dyDescent="0.25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spans="1:26" ht="15.75" customHeight="1" x14ac:dyDescent="0.25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spans="1:26" ht="15.75" customHeight="1" x14ac:dyDescent="0.25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spans="1:26" ht="15.75" customHeight="1" x14ac:dyDescent="0.25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spans="1:26" ht="15.75" customHeight="1" x14ac:dyDescent="0.25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spans="1:26" ht="15.75" customHeight="1" x14ac:dyDescent="0.25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spans="1:26" ht="15.75" customHeight="1" x14ac:dyDescent="0.25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spans="1:26" ht="15.75" customHeight="1" x14ac:dyDescent="0.25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spans="1:26" ht="15.75" customHeight="1" x14ac:dyDescent="0.25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spans="1:26" ht="15.75" customHeight="1" x14ac:dyDescent="0.25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spans="1:26" ht="15.75" customHeight="1" x14ac:dyDescent="0.25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spans="1:26" ht="15.75" customHeight="1" x14ac:dyDescent="0.25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spans="1:26" ht="15.75" customHeight="1" x14ac:dyDescent="0.25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spans="1:26" ht="15.75" customHeight="1" x14ac:dyDescent="0.25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spans="1:26" ht="15.75" customHeight="1" x14ac:dyDescent="0.25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spans="1:26" ht="15.75" customHeight="1" x14ac:dyDescent="0.25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spans="1:26" ht="15.75" customHeight="1" x14ac:dyDescent="0.25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spans="1:26" ht="15.75" customHeight="1" x14ac:dyDescent="0.25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spans="1:26" ht="15.75" customHeight="1" x14ac:dyDescent="0.25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spans="1:26" ht="15.75" customHeight="1" x14ac:dyDescent="0.25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spans="1:26" ht="15.75" customHeight="1" x14ac:dyDescent="0.25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spans="1:26" ht="15.75" customHeight="1" x14ac:dyDescent="0.25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spans="1:26" ht="15.75" customHeight="1" x14ac:dyDescent="0.25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spans="1:26" ht="15.75" customHeight="1" x14ac:dyDescent="0.25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spans="1:26" ht="15.75" customHeight="1" x14ac:dyDescent="0.25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spans="1:26" ht="15.75" customHeight="1" x14ac:dyDescent="0.25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spans="1:26" ht="15.75" customHeight="1" x14ac:dyDescent="0.25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spans="1:26" ht="15.75" customHeight="1" x14ac:dyDescent="0.25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spans="1:26" ht="15.75" customHeight="1" x14ac:dyDescent="0.25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spans="1:26" ht="15.75" customHeight="1" x14ac:dyDescent="0.25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spans="1:26" ht="15.75" customHeight="1" x14ac:dyDescent="0.25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spans="1:26" ht="15.75" customHeight="1" x14ac:dyDescent="0.25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spans="1:26" ht="15.75" customHeight="1" x14ac:dyDescent="0.25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spans="1:26" ht="15.75" customHeight="1" x14ac:dyDescent="0.25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spans="1:26" ht="15.75" customHeight="1" x14ac:dyDescent="0.25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spans="1:26" ht="15.75" customHeight="1" x14ac:dyDescent="0.25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spans="1:26" ht="15.75" customHeight="1" x14ac:dyDescent="0.25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spans="1:26" ht="15.75" customHeight="1" x14ac:dyDescent="0.25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spans="1:26" ht="15.75" customHeight="1" x14ac:dyDescent="0.25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spans="1:26" ht="15.75" customHeight="1" x14ac:dyDescent="0.25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spans="1:26" ht="15.75" customHeight="1" x14ac:dyDescent="0.25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spans="1:26" ht="15.75" customHeight="1" x14ac:dyDescent="0.25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spans="1:26" ht="15.75" customHeight="1" x14ac:dyDescent="0.25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spans="1:26" ht="15.75" customHeight="1" x14ac:dyDescent="0.25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spans="1:26" ht="15.75" customHeight="1" x14ac:dyDescent="0.25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spans="1:26" ht="15.75" customHeight="1" x14ac:dyDescent="0.25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spans="1:26" ht="15.75" customHeight="1" x14ac:dyDescent="0.25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spans="1:26" ht="15.75" customHeight="1" x14ac:dyDescent="0.25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spans="1:26" ht="15.75" customHeight="1" x14ac:dyDescent="0.25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spans="1:26" ht="15.75" customHeight="1" x14ac:dyDescent="0.25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spans="1:26" ht="15.75" customHeight="1" x14ac:dyDescent="0.25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spans="1:26" ht="15.75" customHeight="1" x14ac:dyDescent="0.25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spans="1:26" ht="15.75" customHeight="1" x14ac:dyDescent="0.25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spans="1:26" ht="15.75" customHeight="1" x14ac:dyDescent="0.25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spans="1:26" ht="15.75" customHeight="1" x14ac:dyDescent="0.25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spans="1:26" ht="15.75" customHeight="1" x14ac:dyDescent="0.25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B12" sqref="B12"/>
    </sheetView>
  </sheetViews>
  <sheetFormatPr baseColWidth="10" defaultColWidth="12.6640625" defaultRowHeight="15" customHeight="1" x14ac:dyDescent="0.25"/>
  <cols>
    <col min="1" max="1" width="33.44140625" customWidth="1"/>
    <col min="2" max="15" width="14.44140625" customWidth="1"/>
    <col min="16" max="16" width="15.44140625" customWidth="1"/>
    <col min="17" max="18" width="12.6640625" customWidth="1"/>
    <col min="19" max="26" width="10" customWidth="1"/>
  </cols>
  <sheetData>
    <row r="1" spans="1:26" x14ac:dyDescent="0.25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spans="1:26" ht="15.75" customHeight="1" x14ac:dyDescent="0.3">
      <c r="A2" s="56" t="s">
        <v>69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x14ac:dyDescent="0.25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 ht="15.75" customHeight="1" x14ac:dyDescent="0.3">
      <c r="A4" s="61" t="s">
        <v>55</v>
      </c>
      <c r="B4" s="61" t="s">
        <v>7</v>
      </c>
      <c r="C4" s="61" t="s">
        <v>8</v>
      </c>
      <c r="D4" s="61" t="s">
        <v>9</v>
      </c>
      <c r="E4" s="61" t="s">
        <v>10</v>
      </c>
      <c r="F4" s="61" t="s">
        <v>11</v>
      </c>
      <c r="G4" s="61" t="s">
        <v>12</v>
      </c>
      <c r="H4" s="61" t="s">
        <v>13</v>
      </c>
      <c r="I4" s="61" t="s">
        <v>14</v>
      </c>
      <c r="J4" s="61" t="s">
        <v>15</v>
      </c>
      <c r="K4" s="61" t="s">
        <v>16</v>
      </c>
      <c r="L4" s="61" t="s">
        <v>17</v>
      </c>
      <c r="M4" s="61" t="s">
        <v>18</v>
      </c>
      <c r="N4" s="61" t="s">
        <v>47</v>
      </c>
      <c r="O4" s="61" t="s">
        <v>49</v>
      </c>
      <c r="P4" s="61" t="s">
        <v>50</v>
      </c>
      <c r="Q4" s="61" t="s">
        <v>51</v>
      </c>
      <c r="R4" s="61" t="s">
        <v>52</v>
      </c>
      <c r="S4" s="58"/>
      <c r="T4" s="58"/>
      <c r="U4" s="58"/>
      <c r="V4" s="58"/>
      <c r="W4" s="58"/>
      <c r="X4" s="58"/>
      <c r="Y4" s="58"/>
      <c r="Z4" s="58"/>
    </row>
    <row r="5" spans="1:26" x14ac:dyDescent="0.25">
      <c r="A5" s="90" t="s">
        <v>109</v>
      </c>
      <c r="B5" s="91">
        <v>1000000</v>
      </c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>
        <f t="shared" ref="N5:N24" si="0">+SUM(B5:M5)</f>
        <v>1000000</v>
      </c>
      <c r="O5" s="92">
        <f t="shared" ref="O5:R5" si="1">+N5*1.05</f>
        <v>1050000</v>
      </c>
      <c r="P5" s="92">
        <f t="shared" si="1"/>
        <v>1102500</v>
      </c>
      <c r="Q5" s="92">
        <f t="shared" si="1"/>
        <v>1157625</v>
      </c>
      <c r="R5" s="92">
        <f t="shared" si="1"/>
        <v>1215506.25</v>
      </c>
      <c r="S5" s="58"/>
      <c r="T5" s="58"/>
      <c r="U5" s="58"/>
      <c r="V5" s="58"/>
      <c r="W5" s="58"/>
      <c r="X5" s="58"/>
      <c r="Y5" s="58"/>
      <c r="Z5" s="58"/>
    </row>
    <row r="6" spans="1:26" x14ac:dyDescent="0.25">
      <c r="A6" s="90" t="s">
        <v>110</v>
      </c>
      <c r="B6" s="91">
        <v>200000</v>
      </c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>
        <f t="shared" si="0"/>
        <v>200000</v>
      </c>
      <c r="O6" s="92">
        <f t="shared" ref="O6:R6" si="2">+N6*1.05</f>
        <v>210000</v>
      </c>
      <c r="P6" s="92">
        <f t="shared" si="2"/>
        <v>220500</v>
      </c>
      <c r="Q6" s="92">
        <f t="shared" si="2"/>
        <v>231525</v>
      </c>
      <c r="R6" s="92">
        <f t="shared" si="2"/>
        <v>243101.25</v>
      </c>
      <c r="S6" s="58"/>
      <c r="T6" s="58"/>
      <c r="U6" s="58"/>
      <c r="V6" s="58"/>
      <c r="W6" s="58"/>
      <c r="X6" s="58"/>
      <c r="Y6" s="58"/>
      <c r="Z6" s="58"/>
    </row>
    <row r="7" spans="1:26" x14ac:dyDescent="0.25">
      <c r="A7" s="90" t="s">
        <v>111</v>
      </c>
      <c r="B7" s="91">
        <v>3000000</v>
      </c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>
        <f t="shared" si="0"/>
        <v>3000000</v>
      </c>
      <c r="O7" s="92">
        <f t="shared" ref="O7:R7" si="3">+N7*1.05</f>
        <v>3150000</v>
      </c>
      <c r="P7" s="92">
        <f t="shared" si="3"/>
        <v>3307500</v>
      </c>
      <c r="Q7" s="92">
        <f t="shared" si="3"/>
        <v>3472875</v>
      </c>
      <c r="R7" s="92">
        <f t="shared" si="3"/>
        <v>3646518.75</v>
      </c>
      <c r="S7" s="58"/>
      <c r="T7" s="58"/>
      <c r="U7" s="58"/>
      <c r="V7" s="58"/>
      <c r="W7" s="58"/>
      <c r="X7" s="58"/>
      <c r="Y7" s="58"/>
      <c r="Z7" s="58"/>
    </row>
    <row r="8" spans="1:26" x14ac:dyDescent="0.25">
      <c r="A8" s="90" t="s">
        <v>112</v>
      </c>
      <c r="B8" s="91">
        <v>3000000</v>
      </c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>
        <f t="shared" si="0"/>
        <v>3000000</v>
      </c>
      <c r="O8" s="92">
        <f t="shared" ref="O8:R8" si="4">+N8*1.05</f>
        <v>3150000</v>
      </c>
      <c r="P8" s="92">
        <f t="shared" si="4"/>
        <v>3307500</v>
      </c>
      <c r="Q8" s="92">
        <f t="shared" si="4"/>
        <v>3472875</v>
      </c>
      <c r="R8" s="92">
        <f t="shared" si="4"/>
        <v>3646518.75</v>
      </c>
      <c r="S8" s="58"/>
      <c r="T8" s="58"/>
      <c r="U8" s="58"/>
      <c r="V8" s="58"/>
      <c r="W8" s="58"/>
      <c r="X8" s="58"/>
      <c r="Y8" s="58"/>
      <c r="Z8" s="58"/>
    </row>
    <row r="9" spans="1:26" x14ac:dyDescent="0.25">
      <c r="A9" s="90" t="s">
        <v>113</v>
      </c>
      <c r="B9" s="91">
        <v>3000000</v>
      </c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>
        <f t="shared" si="0"/>
        <v>3000000</v>
      </c>
      <c r="O9" s="92">
        <f t="shared" ref="O9:R9" si="5">+N9*1.05</f>
        <v>3150000</v>
      </c>
      <c r="P9" s="92">
        <f t="shared" si="5"/>
        <v>3307500</v>
      </c>
      <c r="Q9" s="92">
        <f t="shared" si="5"/>
        <v>3472875</v>
      </c>
      <c r="R9" s="92">
        <f t="shared" si="5"/>
        <v>3646518.75</v>
      </c>
      <c r="S9" s="58"/>
      <c r="T9" s="58"/>
      <c r="U9" s="58"/>
      <c r="V9" s="58"/>
      <c r="W9" s="58"/>
      <c r="X9" s="58"/>
      <c r="Y9" s="58"/>
      <c r="Z9" s="58"/>
    </row>
    <row r="10" spans="1:26" x14ac:dyDescent="0.25">
      <c r="A10" s="90" t="s">
        <v>70</v>
      </c>
      <c r="B10" s="91">
        <v>400000</v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>
        <f t="shared" si="0"/>
        <v>400000</v>
      </c>
      <c r="O10" s="92">
        <f t="shared" ref="O10:R10" si="6">+N10*1.05</f>
        <v>420000</v>
      </c>
      <c r="P10" s="92">
        <f t="shared" si="6"/>
        <v>441000</v>
      </c>
      <c r="Q10" s="92">
        <f t="shared" si="6"/>
        <v>463050</v>
      </c>
      <c r="R10" s="92">
        <f t="shared" si="6"/>
        <v>486202.5</v>
      </c>
      <c r="S10" s="58"/>
      <c r="T10" s="58"/>
      <c r="U10" s="58"/>
      <c r="V10" s="58"/>
      <c r="W10" s="58"/>
      <c r="X10" s="58"/>
      <c r="Y10" s="58"/>
      <c r="Z10" s="58"/>
    </row>
    <row r="11" spans="1:26" x14ac:dyDescent="0.25">
      <c r="A11" s="90" t="s">
        <v>114</v>
      </c>
      <c r="B11" s="91">
        <v>100000</v>
      </c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>
        <f t="shared" si="0"/>
        <v>100000</v>
      </c>
      <c r="O11" s="92">
        <f t="shared" ref="O11:R11" si="7">+N11*1.05</f>
        <v>105000</v>
      </c>
      <c r="P11" s="92">
        <f t="shared" si="7"/>
        <v>110250</v>
      </c>
      <c r="Q11" s="92">
        <f t="shared" si="7"/>
        <v>115762.5</v>
      </c>
      <c r="R11" s="92">
        <f t="shared" si="7"/>
        <v>121550.625</v>
      </c>
      <c r="S11" s="58"/>
      <c r="T11" s="58"/>
      <c r="U11" s="58"/>
      <c r="V11" s="58"/>
      <c r="W11" s="58"/>
      <c r="X11" s="58"/>
      <c r="Y11" s="58"/>
      <c r="Z11" s="58"/>
    </row>
    <row r="12" spans="1:26" x14ac:dyDescent="0.25">
      <c r="A12" s="90"/>
      <c r="B12" s="91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>
        <f t="shared" si="0"/>
        <v>0</v>
      </c>
      <c r="O12" s="92">
        <f t="shared" ref="O12:R12" si="8">+N12*1.05</f>
        <v>0</v>
      </c>
      <c r="P12" s="92">
        <f t="shared" si="8"/>
        <v>0</v>
      </c>
      <c r="Q12" s="92">
        <f t="shared" si="8"/>
        <v>0</v>
      </c>
      <c r="R12" s="92">
        <f t="shared" si="8"/>
        <v>0</v>
      </c>
      <c r="S12" s="58"/>
      <c r="T12" s="58"/>
      <c r="U12" s="58"/>
      <c r="V12" s="58"/>
      <c r="W12" s="58"/>
      <c r="X12" s="58"/>
      <c r="Y12" s="58"/>
      <c r="Z12" s="58"/>
    </row>
    <row r="13" spans="1:26" x14ac:dyDescent="0.25">
      <c r="A13" s="90"/>
      <c r="B13" s="91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>
        <f t="shared" si="0"/>
        <v>0</v>
      </c>
      <c r="O13" s="92">
        <f t="shared" ref="O13:R13" si="9">+N13*1.05</f>
        <v>0</v>
      </c>
      <c r="P13" s="92">
        <f t="shared" si="9"/>
        <v>0</v>
      </c>
      <c r="Q13" s="92">
        <f t="shared" si="9"/>
        <v>0</v>
      </c>
      <c r="R13" s="92">
        <f t="shared" si="9"/>
        <v>0</v>
      </c>
      <c r="S13" s="58"/>
      <c r="T13" s="58"/>
      <c r="U13" s="58"/>
      <c r="V13" s="58"/>
      <c r="W13" s="58"/>
      <c r="X13" s="58"/>
      <c r="Y13" s="58"/>
      <c r="Z13" s="58"/>
    </row>
    <row r="14" spans="1:26" x14ac:dyDescent="0.25">
      <c r="A14" s="90"/>
      <c r="B14" s="91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>
        <f t="shared" si="0"/>
        <v>0</v>
      </c>
      <c r="O14" s="92">
        <f t="shared" ref="O14:R14" si="10">+N14*1.05</f>
        <v>0</v>
      </c>
      <c r="P14" s="92">
        <f t="shared" si="10"/>
        <v>0</v>
      </c>
      <c r="Q14" s="92">
        <f t="shared" si="10"/>
        <v>0</v>
      </c>
      <c r="R14" s="92">
        <f t="shared" si="10"/>
        <v>0</v>
      </c>
      <c r="S14" s="58"/>
      <c r="T14" s="58"/>
      <c r="U14" s="58"/>
      <c r="V14" s="58"/>
      <c r="W14" s="58"/>
      <c r="X14" s="58"/>
      <c r="Y14" s="58"/>
      <c r="Z14" s="58"/>
    </row>
    <row r="15" spans="1:26" x14ac:dyDescent="0.25">
      <c r="A15" s="90"/>
      <c r="B15" s="91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>
        <f t="shared" si="0"/>
        <v>0</v>
      </c>
      <c r="O15" s="92">
        <f t="shared" ref="O15:R15" si="11">+N15*1.05</f>
        <v>0</v>
      </c>
      <c r="P15" s="92">
        <f t="shared" si="11"/>
        <v>0</v>
      </c>
      <c r="Q15" s="92">
        <f t="shared" si="11"/>
        <v>0</v>
      </c>
      <c r="R15" s="92">
        <f t="shared" si="11"/>
        <v>0</v>
      </c>
      <c r="S15" s="58"/>
      <c r="T15" s="58"/>
      <c r="U15" s="58"/>
      <c r="V15" s="58"/>
      <c r="W15" s="58"/>
      <c r="X15" s="58"/>
      <c r="Y15" s="58"/>
      <c r="Z15" s="58"/>
    </row>
    <row r="16" spans="1:26" x14ac:dyDescent="0.25">
      <c r="A16" s="90"/>
      <c r="B16" s="91"/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>
        <f t="shared" si="0"/>
        <v>0</v>
      </c>
      <c r="O16" s="92">
        <f t="shared" ref="O16:R16" si="12">+N16*1.05</f>
        <v>0</v>
      </c>
      <c r="P16" s="92">
        <f t="shared" si="12"/>
        <v>0</v>
      </c>
      <c r="Q16" s="92">
        <f t="shared" si="12"/>
        <v>0</v>
      </c>
      <c r="R16" s="92">
        <f t="shared" si="12"/>
        <v>0</v>
      </c>
      <c r="S16" s="58"/>
      <c r="T16" s="58"/>
      <c r="U16" s="58"/>
      <c r="V16" s="58"/>
      <c r="W16" s="58"/>
      <c r="X16" s="58"/>
      <c r="Y16" s="58"/>
      <c r="Z16" s="58"/>
    </row>
    <row r="17" spans="1:26" x14ac:dyDescent="0.25">
      <c r="A17" s="90"/>
      <c r="B17" s="91"/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>
        <f t="shared" si="0"/>
        <v>0</v>
      </c>
      <c r="O17" s="92">
        <f t="shared" ref="O17:R17" si="13">+N17*1.05</f>
        <v>0</v>
      </c>
      <c r="P17" s="92">
        <f t="shared" si="13"/>
        <v>0</v>
      </c>
      <c r="Q17" s="92">
        <f t="shared" si="13"/>
        <v>0</v>
      </c>
      <c r="R17" s="92">
        <f t="shared" si="13"/>
        <v>0</v>
      </c>
      <c r="S17" s="58"/>
      <c r="T17" s="58"/>
      <c r="U17" s="58"/>
      <c r="V17" s="58"/>
      <c r="W17" s="58"/>
      <c r="X17" s="58"/>
      <c r="Y17" s="58"/>
      <c r="Z17" s="58"/>
    </row>
    <row r="18" spans="1:26" x14ac:dyDescent="0.25">
      <c r="A18" s="90"/>
      <c r="B18" s="91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>
        <f t="shared" si="0"/>
        <v>0</v>
      </c>
      <c r="O18" s="92">
        <f t="shared" ref="O18:R18" si="14">+N18*1.05</f>
        <v>0</v>
      </c>
      <c r="P18" s="92">
        <f t="shared" si="14"/>
        <v>0</v>
      </c>
      <c r="Q18" s="92">
        <f t="shared" si="14"/>
        <v>0</v>
      </c>
      <c r="R18" s="92">
        <f t="shared" si="14"/>
        <v>0</v>
      </c>
      <c r="S18" s="58"/>
      <c r="T18" s="58"/>
      <c r="U18" s="58"/>
      <c r="V18" s="58"/>
      <c r="W18" s="58"/>
      <c r="X18" s="58"/>
      <c r="Y18" s="58"/>
      <c r="Z18" s="58"/>
    </row>
    <row r="19" spans="1:26" x14ac:dyDescent="0.25">
      <c r="A19" s="90"/>
      <c r="B19" s="91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>
        <f t="shared" si="0"/>
        <v>0</v>
      </c>
      <c r="O19" s="92">
        <f t="shared" ref="O19:R19" si="15">+N19*1.05</f>
        <v>0</v>
      </c>
      <c r="P19" s="92">
        <f t="shared" si="15"/>
        <v>0</v>
      </c>
      <c r="Q19" s="92">
        <f t="shared" si="15"/>
        <v>0</v>
      </c>
      <c r="R19" s="92">
        <f t="shared" si="15"/>
        <v>0</v>
      </c>
      <c r="S19" s="58"/>
      <c r="T19" s="58"/>
      <c r="U19" s="58"/>
      <c r="V19" s="58"/>
      <c r="W19" s="58"/>
      <c r="X19" s="58"/>
      <c r="Y19" s="58"/>
      <c r="Z19" s="58"/>
    </row>
    <row r="20" spans="1:26" x14ac:dyDescent="0.25">
      <c r="A20" s="90"/>
      <c r="B20" s="91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>
        <f t="shared" si="0"/>
        <v>0</v>
      </c>
      <c r="O20" s="92">
        <f t="shared" ref="O20:R20" si="16">+N20*1.05</f>
        <v>0</v>
      </c>
      <c r="P20" s="92">
        <f t="shared" si="16"/>
        <v>0</v>
      </c>
      <c r="Q20" s="92">
        <f t="shared" si="16"/>
        <v>0</v>
      </c>
      <c r="R20" s="92">
        <f t="shared" si="16"/>
        <v>0</v>
      </c>
      <c r="S20" s="58"/>
      <c r="T20" s="58"/>
      <c r="U20" s="58"/>
      <c r="V20" s="58"/>
      <c r="W20" s="58"/>
      <c r="X20" s="58"/>
      <c r="Y20" s="58"/>
      <c r="Z20" s="58"/>
    </row>
    <row r="21" spans="1:26" ht="15.75" customHeight="1" x14ac:dyDescent="0.25">
      <c r="A21" s="90"/>
      <c r="B21" s="91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>
        <f t="shared" si="0"/>
        <v>0</v>
      </c>
      <c r="O21" s="92">
        <f t="shared" ref="O21:R21" si="17">+N21*1.05</f>
        <v>0</v>
      </c>
      <c r="P21" s="92">
        <f t="shared" si="17"/>
        <v>0</v>
      </c>
      <c r="Q21" s="92">
        <f t="shared" si="17"/>
        <v>0</v>
      </c>
      <c r="R21" s="92">
        <f t="shared" si="17"/>
        <v>0</v>
      </c>
      <c r="S21" s="58"/>
      <c r="T21" s="58"/>
      <c r="U21" s="58"/>
      <c r="V21" s="58"/>
      <c r="W21" s="58"/>
      <c r="X21" s="58"/>
      <c r="Y21" s="58"/>
      <c r="Z21" s="58"/>
    </row>
    <row r="22" spans="1:26" ht="15.75" customHeight="1" x14ac:dyDescent="0.25">
      <c r="A22" s="90"/>
      <c r="B22" s="91"/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>
        <f t="shared" si="0"/>
        <v>0</v>
      </c>
      <c r="O22" s="92">
        <f t="shared" ref="O22:R22" si="18">+N22*1.05</f>
        <v>0</v>
      </c>
      <c r="P22" s="92">
        <f t="shared" si="18"/>
        <v>0</v>
      </c>
      <c r="Q22" s="92">
        <f t="shared" si="18"/>
        <v>0</v>
      </c>
      <c r="R22" s="92">
        <f t="shared" si="18"/>
        <v>0</v>
      </c>
      <c r="S22" s="58"/>
      <c r="T22" s="58"/>
      <c r="U22" s="58"/>
      <c r="V22" s="58"/>
      <c r="W22" s="58"/>
      <c r="X22" s="58"/>
      <c r="Y22" s="58"/>
      <c r="Z22" s="58"/>
    </row>
    <row r="23" spans="1:26" ht="15.75" customHeight="1" x14ac:dyDescent="0.25">
      <c r="A23" s="90"/>
      <c r="B23" s="91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>
        <f t="shared" si="0"/>
        <v>0</v>
      </c>
      <c r="O23" s="92">
        <f t="shared" ref="O23:R23" si="19">+N23*1.05</f>
        <v>0</v>
      </c>
      <c r="P23" s="92">
        <f t="shared" si="19"/>
        <v>0</v>
      </c>
      <c r="Q23" s="92">
        <f t="shared" si="19"/>
        <v>0</v>
      </c>
      <c r="R23" s="92">
        <f t="shared" si="19"/>
        <v>0</v>
      </c>
      <c r="S23" s="58"/>
      <c r="T23" s="58"/>
      <c r="U23" s="58"/>
      <c r="V23" s="58"/>
      <c r="W23" s="58"/>
      <c r="X23" s="58"/>
      <c r="Y23" s="58"/>
      <c r="Z23" s="58"/>
    </row>
    <row r="24" spans="1:26" ht="15.75" customHeight="1" x14ac:dyDescent="0.3">
      <c r="A24" s="93" t="s">
        <v>48</v>
      </c>
      <c r="B24" s="94">
        <f>SUM(B5:B23)</f>
        <v>10700000</v>
      </c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2">
        <f t="shared" si="0"/>
        <v>10700000</v>
      </c>
      <c r="O24" s="95">
        <f t="shared" ref="O24:R24" si="20">SUM(O5:O23)</f>
        <v>11235000</v>
      </c>
      <c r="P24" s="95">
        <f t="shared" si="20"/>
        <v>11796750</v>
      </c>
      <c r="Q24" s="95">
        <f t="shared" si="20"/>
        <v>12386587.5</v>
      </c>
      <c r="R24" s="95">
        <f t="shared" si="20"/>
        <v>13005916.875</v>
      </c>
      <c r="S24" s="58"/>
      <c r="T24" s="58"/>
      <c r="U24" s="58"/>
      <c r="V24" s="58"/>
      <c r="W24" s="58"/>
      <c r="X24" s="58"/>
      <c r="Y24" s="58"/>
      <c r="Z24" s="58"/>
    </row>
    <row r="25" spans="1:26" ht="15.75" customHeight="1" x14ac:dyDescent="0.3">
      <c r="A25" s="96"/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58"/>
      <c r="T25" s="58"/>
      <c r="U25" s="58"/>
      <c r="V25" s="58"/>
      <c r="W25" s="58"/>
      <c r="X25" s="58"/>
      <c r="Y25" s="58"/>
      <c r="Z25" s="58"/>
    </row>
    <row r="26" spans="1:26" ht="15.75" customHeight="1" x14ac:dyDescent="0.25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5.75" customHeight="1" x14ac:dyDescent="0.25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15.75" customHeight="1" x14ac:dyDescent="0.3">
      <c r="A28" s="70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 t="s">
        <v>47</v>
      </c>
      <c r="O28" s="61" t="s">
        <v>49</v>
      </c>
      <c r="P28" s="61" t="s">
        <v>50</v>
      </c>
      <c r="Q28" s="61" t="s">
        <v>51</v>
      </c>
      <c r="R28" s="61" t="s">
        <v>52</v>
      </c>
      <c r="S28" s="58"/>
      <c r="T28" s="58"/>
      <c r="U28" s="58"/>
      <c r="V28" s="58"/>
      <c r="W28" s="58"/>
      <c r="X28" s="58"/>
      <c r="Y28" s="58"/>
      <c r="Z28" s="58"/>
    </row>
    <row r="29" spans="1:26" ht="15.75" customHeight="1" x14ac:dyDescent="0.25">
      <c r="A29" s="90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58"/>
      <c r="T29" s="58"/>
      <c r="U29" s="58"/>
      <c r="V29" s="58"/>
      <c r="W29" s="58"/>
      <c r="X29" s="58"/>
      <c r="Y29" s="58"/>
      <c r="Z29" s="58"/>
    </row>
    <row r="30" spans="1:26" ht="15.75" customHeight="1" x14ac:dyDescent="0.25">
      <c r="A30" s="90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58"/>
      <c r="T30" s="58"/>
      <c r="U30" s="58"/>
      <c r="V30" s="58"/>
      <c r="W30" s="58"/>
      <c r="X30" s="58"/>
      <c r="Y30" s="58"/>
      <c r="Z30" s="58"/>
    </row>
    <row r="31" spans="1:26" ht="15.75" customHeight="1" x14ac:dyDescent="0.25">
      <c r="A31" s="90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58"/>
      <c r="T31" s="58"/>
      <c r="U31" s="58"/>
      <c r="V31" s="58"/>
      <c r="W31" s="58"/>
      <c r="X31" s="58"/>
      <c r="Y31" s="58"/>
      <c r="Z31" s="58"/>
    </row>
    <row r="32" spans="1:26" ht="15.75" customHeight="1" x14ac:dyDescent="0.25">
      <c r="A32" s="90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58"/>
      <c r="T32" s="58"/>
      <c r="U32" s="58"/>
      <c r="V32" s="58"/>
      <c r="W32" s="58"/>
      <c r="X32" s="58"/>
      <c r="Y32" s="58"/>
      <c r="Z32" s="58"/>
    </row>
    <row r="33" spans="1:26" ht="15.75" customHeight="1" x14ac:dyDescent="0.25">
      <c r="A33" s="90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58"/>
      <c r="T33" s="58"/>
      <c r="U33" s="58"/>
      <c r="V33" s="58"/>
      <c r="W33" s="58"/>
      <c r="X33" s="58"/>
      <c r="Y33" s="58"/>
      <c r="Z33" s="58"/>
    </row>
    <row r="34" spans="1:26" ht="15.75" customHeight="1" x14ac:dyDescent="0.25">
      <c r="A34" s="90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58"/>
      <c r="T34" s="58"/>
      <c r="U34" s="58"/>
      <c r="V34" s="58"/>
      <c r="W34" s="58"/>
      <c r="X34" s="58"/>
      <c r="Y34" s="58"/>
      <c r="Z34" s="58"/>
    </row>
    <row r="35" spans="1:26" ht="15.75" customHeight="1" x14ac:dyDescent="0.2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92"/>
      <c r="O35" s="92"/>
      <c r="P35" s="92"/>
      <c r="Q35" s="92"/>
      <c r="R35" s="92"/>
      <c r="S35" s="58"/>
      <c r="T35" s="58"/>
      <c r="U35" s="58"/>
      <c r="V35" s="58"/>
      <c r="W35" s="58"/>
      <c r="X35" s="58"/>
      <c r="Y35" s="58"/>
      <c r="Z35" s="58"/>
    </row>
    <row r="36" spans="1:26" ht="15.75" customHeight="1" x14ac:dyDescent="0.25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92"/>
      <c r="O36" s="92"/>
      <c r="P36" s="92"/>
      <c r="Q36" s="92"/>
      <c r="R36" s="92"/>
      <c r="S36" s="58"/>
      <c r="T36" s="58"/>
      <c r="U36" s="58"/>
      <c r="V36" s="58"/>
      <c r="W36" s="58"/>
      <c r="X36" s="58"/>
      <c r="Y36" s="58"/>
      <c r="Z36" s="58"/>
    </row>
    <row r="37" spans="1:26" ht="15.75" customHeight="1" x14ac:dyDescent="0.25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92"/>
      <c r="O37" s="92"/>
      <c r="P37" s="92"/>
      <c r="Q37" s="92"/>
      <c r="R37" s="92"/>
      <c r="S37" s="58"/>
      <c r="T37" s="58"/>
      <c r="U37" s="58"/>
      <c r="V37" s="58"/>
      <c r="W37" s="58"/>
      <c r="X37" s="58"/>
      <c r="Y37" s="58"/>
      <c r="Z37" s="58"/>
    </row>
    <row r="38" spans="1:26" ht="15.75" customHeight="1" x14ac:dyDescent="0.3">
      <c r="A38" s="70"/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>
        <f t="shared" ref="N38:R38" si="21">SUM(N20:N37)</f>
        <v>10700000</v>
      </c>
      <c r="O38" s="95">
        <f t="shared" si="21"/>
        <v>11235000</v>
      </c>
      <c r="P38" s="95">
        <f t="shared" si="21"/>
        <v>11796750</v>
      </c>
      <c r="Q38" s="95">
        <f t="shared" si="21"/>
        <v>12386587.5</v>
      </c>
      <c r="R38" s="95">
        <f t="shared" si="21"/>
        <v>13005916.875</v>
      </c>
      <c r="S38" s="58"/>
      <c r="T38" s="58"/>
      <c r="U38" s="58"/>
      <c r="V38" s="58"/>
      <c r="W38" s="58"/>
      <c r="X38" s="58"/>
      <c r="Y38" s="58"/>
      <c r="Z38" s="58"/>
    </row>
    <row r="39" spans="1:26" ht="15.75" customHeight="1" x14ac:dyDescent="0.25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spans="1:26" ht="15.75" customHeight="1" x14ac:dyDescent="0.25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spans="1:26" ht="15.75" customHeight="1" x14ac:dyDescent="0.25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spans="1:26" ht="15.75" customHeight="1" x14ac:dyDescent="0.25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spans="1:26" ht="15.75" customHeight="1" x14ac:dyDescent="0.25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spans="1:26" ht="15.75" customHeight="1" x14ac:dyDescent="0.25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1:26" ht="15.75" customHeight="1" x14ac:dyDescent="0.25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spans="1:26" ht="15.75" customHeight="1" x14ac:dyDescent="0.25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spans="1:26" ht="15.75" customHeight="1" x14ac:dyDescent="0.25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spans="1:26" ht="15.75" customHeight="1" x14ac:dyDescent="0.25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spans="1:26" ht="15.75" customHeight="1" x14ac:dyDescent="0.25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spans="1:26" ht="15.75" customHeight="1" x14ac:dyDescent="0.25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spans="1:26" ht="15.75" customHeight="1" x14ac:dyDescent="0.25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spans="1:26" ht="15.75" customHeight="1" x14ac:dyDescent="0.25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spans="1:26" ht="15.75" customHeight="1" x14ac:dyDescent="0.25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spans="1:26" ht="15.75" customHeight="1" x14ac:dyDescent="0.25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1:26" ht="15.75" customHeight="1" x14ac:dyDescent="0.25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spans="1:26" ht="15.75" customHeight="1" x14ac:dyDescent="0.25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spans="1:26" ht="15.75" customHeight="1" x14ac:dyDescent="0.25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spans="1:26" ht="15.75" customHeight="1" x14ac:dyDescent="0.25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spans="1:26" ht="15.75" customHeight="1" x14ac:dyDescent="0.25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spans="1:26" ht="15.75" customHeight="1" x14ac:dyDescent="0.25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1:26" ht="15.75" customHeight="1" x14ac:dyDescent="0.25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spans="1:26" ht="15.75" customHeight="1" x14ac:dyDescent="0.25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6" ht="15.75" customHeight="1" x14ac:dyDescent="0.25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 ht="15.75" customHeight="1" x14ac:dyDescent="0.25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spans="1:26" ht="15.75" customHeight="1" x14ac:dyDescent="0.25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spans="1:26" ht="15.75" customHeight="1" x14ac:dyDescent="0.25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spans="1:26" ht="15.75" customHeight="1" x14ac:dyDescent="0.25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spans="1:26" ht="15.75" customHeight="1" x14ac:dyDescent="0.25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spans="1:26" ht="15.75" customHeight="1" x14ac:dyDescent="0.25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spans="1:26" ht="15.75" customHeight="1" x14ac:dyDescent="0.25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spans="1:26" ht="15.75" customHeight="1" x14ac:dyDescent="0.25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spans="1:26" ht="15.75" customHeight="1" x14ac:dyDescent="0.25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spans="1:26" ht="15.75" customHeight="1" x14ac:dyDescent="0.25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spans="1:26" ht="15.75" customHeight="1" x14ac:dyDescent="0.25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spans="1:26" ht="15.75" customHeight="1" x14ac:dyDescent="0.25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 ht="15.75" customHeight="1" x14ac:dyDescent="0.25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 ht="15.75" customHeight="1" x14ac:dyDescent="0.25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 ht="15.75" customHeight="1" x14ac:dyDescent="0.25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 ht="15.75" customHeight="1" x14ac:dyDescent="0.25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 ht="15.75" customHeight="1" x14ac:dyDescent="0.25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 ht="15.75" customHeight="1" x14ac:dyDescent="0.25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 ht="15.75" customHeight="1" x14ac:dyDescent="0.25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 ht="15.75" customHeight="1" x14ac:dyDescent="0.25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 ht="15.75" customHeight="1" x14ac:dyDescent="0.25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 ht="15.75" customHeight="1" x14ac:dyDescent="0.25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 ht="15.75" customHeight="1" x14ac:dyDescent="0.25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 ht="15.75" customHeight="1" x14ac:dyDescent="0.25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 ht="15.75" customHeight="1" x14ac:dyDescent="0.25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 ht="15.75" customHeight="1" x14ac:dyDescent="0.25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 ht="15.75" customHeight="1" x14ac:dyDescent="0.25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 ht="15.75" customHeight="1" x14ac:dyDescent="0.25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 ht="15.75" customHeight="1" x14ac:dyDescent="0.25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 ht="15.75" customHeight="1" x14ac:dyDescent="0.25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 ht="15.75" customHeight="1" x14ac:dyDescent="0.25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 ht="15.75" customHeight="1" x14ac:dyDescent="0.25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 ht="15.75" customHeight="1" x14ac:dyDescent="0.25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 ht="15.75" customHeight="1" x14ac:dyDescent="0.25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 ht="15.75" customHeight="1" x14ac:dyDescent="0.25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 ht="15.75" customHeight="1" x14ac:dyDescent="0.25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1:26" ht="15.75" customHeight="1" x14ac:dyDescent="0.25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spans="1:26" ht="15.75" customHeight="1" x14ac:dyDescent="0.25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spans="1:26" ht="15.75" customHeight="1" x14ac:dyDescent="0.25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spans="1:26" ht="15.75" customHeight="1" x14ac:dyDescent="0.25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spans="1:26" ht="15.75" customHeight="1" x14ac:dyDescent="0.25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spans="1:26" ht="15.75" customHeight="1" x14ac:dyDescent="0.25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spans="1:26" ht="15.75" customHeight="1" x14ac:dyDescent="0.25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spans="1:26" ht="15.75" customHeight="1" x14ac:dyDescent="0.25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spans="1:26" ht="15.75" customHeight="1" x14ac:dyDescent="0.25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spans="1:26" ht="15.75" customHeight="1" x14ac:dyDescent="0.25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spans="1:26" ht="15.75" customHeight="1" x14ac:dyDescent="0.25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spans="1:26" ht="15.75" customHeight="1" x14ac:dyDescent="0.25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spans="1:26" ht="15.75" customHeight="1" x14ac:dyDescent="0.25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spans="1:26" ht="15.75" customHeight="1" x14ac:dyDescent="0.25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spans="1:26" ht="15.75" customHeight="1" x14ac:dyDescent="0.25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spans="1:26" ht="15.75" customHeight="1" x14ac:dyDescent="0.25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spans="1:26" ht="15.75" customHeight="1" x14ac:dyDescent="0.25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spans="1:26" ht="15.75" customHeight="1" x14ac:dyDescent="0.25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spans="1:26" ht="15.75" customHeight="1" x14ac:dyDescent="0.25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spans="1:26" ht="15.75" customHeight="1" x14ac:dyDescent="0.25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spans="1:26" ht="15.75" customHeight="1" x14ac:dyDescent="0.25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spans="1:26" ht="15.75" customHeight="1" x14ac:dyDescent="0.25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spans="1:26" ht="15.75" customHeight="1" x14ac:dyDescent="0.25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spans="1:26" ht="15.75" customHeight="1" x14ac:dyDescent="0.25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spans="1:26" ht="15.75" customHeight="1" x14ac:dyDescent="0.25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spans="1:26" ht="15.75" customHeight="1" x14ac:dyDescent="0.25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spans="1:26" ht="15.75" customHeight="1" x14ac:dyDescent="0.25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spans="1:26" ht="15.75" customHeight="1" x14ac:dyDescent="0.25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spans="1:26" ht="15.75" customHeight="1" x14ac:dyDescent="0.25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spans="1:26" ht="15.75" customHeight="1" x14ac:dyDescent="0.25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spans="1:26" ht="15.75" customHeight="1" x14ac:dyDescent="0.25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spans="1:26" ht="15.75" customHeight="1" x14ac:dyDescent="0.25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spans="1:26" ht="15.75" customHeight="1" x14ac:dyDescent="0.25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spans="1:26" ht="15.75" customHeight="1" x14ac:dyDescent="0.25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spans="1:26" ht="15.75" customHeight="1" x14ac:dyDescent="0.25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spans="1:26" ht="15.75" customHeight="1" x14ac:dyDescent="0.25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spans="1:26" ht="15.75" customHeight="1" x14ac:dyDescent="0.25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spans="1:26" ht="15.75" customHeight="1" x14ac:dyDescent="0.25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spans="1:26" ht="15.75" customHeight="1" x14ac:dyDescent="0.25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spans="1:26" ht="15.75" customHeight="1" x14ac:dyDescent="0.25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spans="1:26" ht="15.75" customHeight="1" x14ac:dyDescent="0.25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spans="1:26" ht="15.75" customHeight="1" x14ac:dyDescent="0.25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spans="1:26" ht="15.75" customHeight="1" x14ac:dyDescent="0.25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spans="1:26" ht="15.75" customHeight="1" x14ac:dyDescent="0.25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spans="1:26" ht="15.75" customHeight="1" x14ac:dyDescent="0.25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spans="1:26" ht="15.75" customHeight="1" x14ac:dyDescent="0.25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spans="1:26" ht="15.75" customHeight="1" x14ac:dyDescent="0.25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spans="1:26" ht="15.75" customHeight="1" x14ac:dyDescent="0.25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spans="1:26" ht="15.75" customHeight="1" x14ac:dyDescent="0.25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spans="1:26" ht="15.75" customHeight="1" x14ac:dyDescent="0.25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spans="1:26" ht="15.75" customHeight="1" x14ac:dyDescent="0.25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spans="1:26" ht="15.75" customHeight="1" x14ac:dyDescent="0.25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spans="1:26" ht="15.75" customHeight="1" x14ac:dyDescent="0.25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spans="1:26" ht="15.75" customHeight="1" x14ac:dyDescent="0.25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spans="1:26" ht="15.75" customHeight="1" x14ac:dyDescent="0.25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spans="1:26" ht="15.75" customHeight="1" x14ac:dyDescent="0.25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spans="1:26" ht="15.75" customHeight="1" x14ac:dyDescent="0.25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spans="1:26" ht="15.75" customHeight="1" x14ac:dyDescent="0.25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spans="1:26" ht="15.75" customHeight="1" x14ac:dyDescent="0.25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spans="1:26" ht="15.75" customHeight="1" x14ac:dyDescent="0.25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spans="1:26" ht="15.75" customHeight="1" x14ac:dyDescent="0.25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spans="1:26" ht="15.75" customHeight="1" x14ac:dyDescent="0.25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spans="1:26" ht="15.75" customHeight="1" x14ac:dyDescent="0.25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spans="1:26" ht="15.75" customHeight="1" x14ac:dyDescent="0.25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spans="1:26" ht="15.75" customHeight="1" x14ac:dyDescent="0.25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spans="1:26" ht="15.75" customHeight="1" x14ac:dyDescent="0.25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spans="1:26" ht="15.75" customHeight="1" x14ac:dyDescent="0.25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spans="1:26" ht="15.75" customHeight="1" x14ac:dyDescent="0.25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spans="1:26" ht="15.75" customHeight="1" x14ac:dyDescent="0.25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spans="1:26" ht="15.75" customHeight="1" x14ac:dyDescent="0.25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spans="1:26" ht="15.75" customHeight="1" x14ac:dyDescent="0.25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spans="1:26" ht="15.75" customHeight="1" x14ac:dyDescent="0.25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spans="1:26" ht="15.75" customHeight="1" x14ac:dyDescent="0.25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spans="1:26" ht="15.75" customHeight="1" x14ac:dyDescent="0.25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spans="1:26" ht="15.75" customHeight="1" x14ac:dyDescent="0.25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spans="1:26" ht="15.75" customHeight="1" x14ac:dyDescent="0.25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spans="1:26" ht="15.75" customHeight="1" x14ac:dyDescent="0.25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spans="1:26" ht="15.75" customHeight="1" x14ac:dyDescent="0.25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spans="1:26" ht="15.75" customHeight="1" x14ac:dyDescent="0.25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spans="1:26" ht="15.75" customHeight="1" x14ac:dyDescent="0.25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spans="1:26" ht="15.75" customHeight="1" x14ac:dyDescent="0.25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spans="1:26" ht="15.75" customHeight="1" x14ac:dyDescent="0.25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spans="1:26" ht="15.75" customHeight="1" x14ac:dyDescent="0.25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spans="1:26" ht="15.75" customHeight="1" x14ac:dyDescent="0.25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spans="1:26" ht="15.75" customHeight="1" x14ac:dyDescent="0.25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spans="1:26" ht="15.75" customHeight="1" x14ac:dyDescent="0.25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spans="1:26" ht="15.75" customHeight="1" x14ac:dyDescent="0.25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spans="1:26" ht="15.75" customHeight="1" x14ac:dyDescent="0.25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spans="1:26" ht="15.75" customHeight="1" x14ac:dyDescent="0.25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spans="1:26" ht="15.75" customHeight="1" x14ac:dyDescent="0.25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spans="1:26" ht="15.75" customHeight="1" x14ac:dyDescent="0.25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spans="1:26" ht="15.75" customHeight="1" x14ac:dyDescent="0.25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spans="1:26" ht="15.75" customHeight="1" x14ac:dyDescent="0.25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spans="1:26" ht="15.75" customHeight="1" x14ac:dyDescent="0.25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spans="1:26" ht="15.75" customHeight="1" x14ac:dyDescent="0.25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spans="1:26" ht="15.75" customHeight="1" x14ac:dyDescent="0.25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spans="1:26" ht="15.75" customHeight="1" x14ac:dyDescent="0.25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spans="1:26" ht="15.75" customHeight="1" x14ac:dyDescent="0.25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spans="1:26" ht="15.75" customHeight="1" x14ac:dyDescent="0.25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spans="1:26" ht="15.75" customHeight="1" x14ac:dyDescent="0.25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spans="1:26" ht="15.75" customHeight="1" x14ac:dyDescent="0.25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spans="1:26" ht="15.75" customHeight="1" x14ac:dyDescent="0.25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spans="1:26" ht="15.75" customHeight="1" x14ac:dyDescent="0.25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spans="1:26" ht="15.75" customHeight="1" x14ac:dyDescent="0.25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spans="1:26" ht="15.75" customHeight="1" x14ac:dyDescent="0.25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spans="1:26" ht="15.75" customHeight="1" x14ac:dyDescent="0.25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spans="1:26" ht="15.75" customHeight="1" x14ac:dyDescent="0.25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spans="1:26" ht="15.75" customHeight="1" x14ac:dyDescent="0.25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spans="1:26" ht="15.75" customHeight="1" x14ac:dyDescent="0.25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spans="1:26" ht="15.75" customHeight="1" x14ac:dyDescent="0.25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spans="1:26" ht="15.75" customHeight="1" x14ac:dyDescent="0.25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spans="1:26" ht="15.75" customHeight="1" x14ac:dyDescent="0.25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spans="1:26" ht="15.75" customHeight="1" x14ac:dyDescent="0.25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spans="1:26" ht="15.75" customHeight="1" x14ac:dyDescent="0.25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spans="1:26" ht="15.75" customHeight="1" x14ac:dyDescent="0.25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spans="1:26" ht="15.75" customHeight="1" x14ac:dyDescent="0.25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spans="1:26" ht="15.75" customHeight="1" x14ac:dyDescent="0.25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spans="1:26" ht="15.75" customHeight="1" x14ac:dyDescent="0.25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spans="1:26" ht="15.75" customHeight="1" x14ac:dyDescent="0.25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spans="1:26" ht="15.75" customHeight="1" x14ac:dyDescent="0.25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spans="1:26" ht="15.75" customHeight="1" x14ac:dyDescent="0.25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spans="1:26" ht="15.75" customHeight="1" x14ac:dyDescent="0.25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spans="1:26" ht="15.75" customHeight="1" x14ac:dyDescent="0.25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spans="1:26" ht="15.75" customHeight="1" x14ac:dyDescent="0.25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spans="1:26" ht="15.75" customHeight="1" x14ac:dyDescent="0.25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spans="1:26" ht="15.75" customHeight="1" x14ac:dyDescent="0.25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spans="1:26" ht="15.75" customHeight="1" x14ac:dyDescent="0.25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spans="1:26" ht="15.75" customHeight="1" x14ac:dyDescent="0.25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spans="1:26" ht="15.75" customHeight="1" x14ac:dyDescent="0.25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spans="1:26" ht="15.75" customHeight="1" x14ac:dyDescent="0.25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spans="1:26" ht="15.75" customHeight="1" x14ac:dyDescent="0.25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spans="1:26" ht="15.75" customHeight="1" x14ac:dyDescent="0.25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spans="1:26" ht="15.75" customHeight="1" x14ac:dyDescent="0.25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spans="1:26" ht="15.75" customHeight="1" x14ac:dyDescent="0.25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spans="1:26" ht="15.75" customHeight="1" x14ac:dyDescent="0.25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spans="1:26" ht="15.75" customHeight="1" x14ac:dyDescent="0.25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spans="1:26" ht="15.75" customHeight="1" x14ac:dyDescent="0.25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spans="1:26" ht="15.75" customHeight="1" x14ac:dyDescent="0.25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spans="1:26" ht="15.75" customHeight="1" x14ac:dyDescent="0.25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000"/>
  <sheetViews>
    <sheetView workbookViewId="0">
      <selection activeCell="B6" sqref="B6"/>
    </sheetView>
  </sheetViews>
  <sheetFormatPr baseColWidth="10" defaultColWidth="12.6640625" defaultRowHeight="15" customHeight="1" x14ac:dyDescent="0.25"/>
  <cols>
    <col min="1" max="1" width="33.44140625" customWidth="1"/>
    <col min="2" max="4" width="14.44140625" customWidth="1"/>
    <col min="5" max="5" width="15.44140625" customWidth="1"/>
    <col min="6" max="7" width="12.6640625" customWidth="1"/>
    <col min="8" max="22" width="10" customWidth="1"/>
    <col min="23" max="26" width="12.44140625" customWidth="1"/>
  </cols>
  <sheetData>
    <row r="1" spans="1:22" x14ac:dyDescent="0.25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</row>
    <row r="2" spans="1:22" ht="15.75" customHeight="1" x14ac:dyDescent="0.3">
      <c r="A2" s="56" t="s">
        <v>71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</row>
    <row r="3" spans="1:22" x14ac:dyDescent="0.25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</row>
    <row r="4" spans="1:22" ht="15.75" customHeight="1" x14ac:dyDescent="0.3">
      <c r="A4" s="74" t="s">
        <v>55</v>
      </c>
      <c r="B4" s="61" t="s">
        <v>54</v>
      </c>
      <c r="C4" s="98"/>
      <c r="D4" s="98"/>
      <c r="E4" s="98"/>
      <c r="F4" s="98"/>
      <c r="G4" s="9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</row>
    <row r="5" spans="1:22" x14ac:dyDescent="0.25">
      <c r="A5" s="99" t="s">
        <v>72</v>
      </c>
      <c r="B5" s="91">
        <v>500000</v>
      </c>
      <c r="C5" s="100"/>
      <c r="D5" s="100"/>
      <c r="E5" s="100"/>
      <c r="F5" s="100"/>
      <c r="G5" s="100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</row>
    <row r="6" spans="1:22" x14ac:dyDescent="0.25">
      <c r="A6" s="99" t="s">
        <v>73</v>
      </c>
      <c r="B6" s="91"/>
      <c r="C6" s="100"/>
      <c r="D6" s="100"/>
      <c r="E6" s="100"/>
      <c r="F6" s="100"/>
      <c r="G6" s="100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</row>
    <row r="7" spans="1:22" x14ac:dyDescent="0.25">
      <c r="A7" s="99" t="s">
        <v>74</v>
      </c>
      <c r="B7" s="91"/>
      <c r="C7" s="100"/>
      <c r="D7" s="100"/>
      <c r="E7" s="100"/>
      <c r="F7" s="100"/>
      <c r="G7" s="100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</row>
    <row r="8" spans="1:22" x14ac:dyDescent="0.25">
      <c r="A8" s="99" t="s">
        <v>75</v>
      </c>
      <c r="B8" s="91"/>
      <c r="C8" s="100"/>
      <c r="D8" s="100"/>
      <c r="E8" s="100"/>
      <c r="F8" s="100"/>
      <c r="G8" s="100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</row>
    <row r="9" spans="1:22" x14ac:dyDescent="0.25">
      <c r="A9" s="99" t="s">
        <v>76</v>
      </c>
      <c r="B9" s="91"/>
      <c r="C9" s="100"/>
      <c r="D9" s="100"/>
      <c r="E9" s="100"/>
      <c r="F9" s="100"/>
      <c r="G9" s="100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</row>
    <row r="10" spans="1:22" x14ac:dyDescent="0.25">
      <c r="A10" s="99"/>
      <c r="B10" s="91"/>
      <c r="C10" s="100"/>
      <c r="D10" s="100"/>
      <c r="E10" s="100"/>
      <c r="F10" s="100"/>
      <c r="G10" s="100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</row>
    <row r="11" spans="1:22" x14ac:dyDescent="0.25">
      <c r="A11" s="99"/>
      <c r="B11" s="91"/>
      <c r="C11" s="100"/>
      <c r="D11" s="100"/>
      <c r="E11" s="100"/>
      <c r="F11" s="100"/>
      <c r="G11" s="100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</row>
    <row r="12" spans="1:22" x14ac:dyDescent="0.25">
      <c r="A12" s="99"/>
      <c r="B12" s="91"/>
      <c r="C12" s="100"/>
      <c r="D12" s="100"/>
      <c r="E12" s="100"/>
      <c r="F12" s="100"/>
      <c r="G12" s="100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</row>
    <row r="13" spans="1:22" x14ac:dyDescent="0.25">
      <c r="A13" s="99"/>
      <c r="B13" s="91"/>
      <c r="C13" s="100"/>
      <c r="D13" s="100"/>
      <c r="E13" s="100"/>
      <c r="F13" s="100"/>
      <c r="G13" s="100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</row>
    <row r="14" spans="1:22" x14ac:dyDescent="0.25">
      <c r="A14" s="99"/>
      <c r="B14" s="91"/>
      <c r="C14" s="100"/>
      <c r="D14" s="100"/>
      <c r="E14" s="100"/>
      <c r="F14" s="100"/>
      <c r="G14" s="100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</row>
    <row r="15" spans="1:22" x14ac:dyDescent="0.25">
      <c r="A15" s="99"/>
      <c r="B15" s="91"/>
      <c r="C15" s="100"/>
      <c r="D15" s="100"/>
      <c r="E15" s="100"/>
      <c r="F15" s="100"/>
      <c r="G15" s="100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</row>
    <row r="16" spans="1:22" x14ac:dyDescent="0.25">
      <c r="A16" s="99"/>
      <c r="B16" s="91"/>
      <c r="C16" s="100"/>
      <c r="D16" s="100"/>
      <c r="E16" s="100"/>
      <c r="F16" s="100"/>
      <c r="G16" s="100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</row>
    <row r="17" spans="1:22" x14ac:dyDescent="0.25">
      <c r="A17" s="99"/>
      <c r="B17" s="91"/>
      <c r="C17" s="100"/>
      <c r="D17" s="100"/>
      <c r="E17" s="100"/>
      <c r="F17" s="100"/>
      <c r="G17" s="100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</row>
    <row r="18" spans="1:22" x14ac:dyDescent="0.25">
      <c r="A18" s="99"/>
      <c r="B18" s="91"/>
      <c r="C18" s="100"/>
      <c r="D18" s="100"/>
      <c r="E18" s="100"/>
      <c r="F18" s="100"/>
      <c r="G18" s="100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</row>
    <row r="19" spans="1:22" x14ac:dyDescent="0.25">
      <c r="A19" s="99"/>
      <c r="B19" s="91"/>
      <c r="C19" s="100"/>
      <c r="D19" s="100"/>
      <c r="E19" s="100"/>
      <c r="F19" s="100"/>
      <c r="G19" s="100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</row>
    <row r="20" spans="1:22" x14ac:dyDescent="0.25">
      <c r="A20" s="99"/>
      <c r="B20" s="91"/>
      <c r="C20" s="100"/>
      <c r="D20" s="100"/>
      <c r="E20" s="100"/>
      <c r="F20" s="100"/>
      <c r="G20" s="100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</row>
    <row r="21" spans="1:22" ht="15.75" customHeight="1" x14ac:dyDescent="0.3">
      <c r="A21" s="101" t="s">
        <v>48</v>
      </c>
      <c r="B21" s="94">
        <f>SUM(B5:B20)</f>
        <v>500000</v>
      </c>
      <c r="C21" s="97"/>
      <c r="D21" s="97"/>
      <c r="E21" s="97"/>
      <c r="F21" s="97"/>
      <c r="G21" s="97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</row>
    <row r="22" spans="1:22" ht="15.75" customHeight="1" x14ac:dyDescent="0.3">
      <c r="A22" s="96"/>
      <c r="B22" s="97"/>
      <c r="C22" s="97"/>
      <c r="D22" s="97"/>
      <c r="E22" s="97"/>
      <c r="F22" s="97"/>
      <c r="G22" s="97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</row>
    <row r="23" spans="1:22" ht="15.75" customHeight="1" x14ac:dyDescent="0.25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</row>
    <row r="24" spans="1:22" ht="15.75" customHeight="1" x14ac:dyDescent="0.25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</row>
    <row r="25" spans="1:22" ht="15.75" customHeight="1" x14ac:dyDescent="0.25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</row>
    <row r="26" spans="1:22" ht="15.75" customHeight="1" x14ac:dyDescent="0.25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</row>
    <row r="27" spans="1:22" ht="15.75" customHeight="1" x14ac:dyDescent="0.25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</row>
    <row r="28" spans="1:22" ht="15.75" customHeight="1" x14ac:dyDescent="0.25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</row>
    <row r="29" spans="1:22" ht="15.75" customHeight="1" x14ac:dyDescent="0.25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</row>
    <row r="30" spans="1:22" ht="15.75" customHeight="1" x14ac:dyDescent="0.25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</row>
    <row r="31" spans="1:22" ht="15.75" customHeight="1" x14ac:dyDescent="0.25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</row>
    <row r="32" spans="1:22" ht="15.75" customHeight="1" x14ac:dyDescent="0.25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</row>
    <row r="33" spans="1:22" ht="15.75" customHeight="1" x14ac:dyDescent="0.25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</row>
    <row r="34" spans="1:22" ht="15.75" customHeight="1" x14ac:dyDescent="0.25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</row>
    <row r="35" spans="1:22" ht="15.75" customHeight="1" x14ac:dyDescent="0.25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</row>
    <row r="36" spans="1:22" ht="15.75" customHeight="1" x14ac:dyDescent="0.25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</row>
    <row r="37" spans="1:22" ht="15.75" customHeight="1" x14ac:dyDescent="0.25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</row>
    <row r="38" spans="1:22" ht="15.75" customHeight="1" x14ac:dyDescent="0.25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</row>
    <row r="39" spans="1:22" ht="15.75" customHeight="1" x14ac:dyDescent="0.25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</row>
    <row r="40" spans="1:22" ht="15.75" customHeight="1" x14ac:dyDescent="0.25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</row>
    <row r="41" spans="1:22" ht="15.75" customHeight="1" x14ac:dyDescent="0.25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</row>
    <row r="42" spans="1:22" ht="15.75" customHeight="1" x14ac:dyDescent="0.25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</row>
    <row r="43" spans="1:22" ht="15.75" customHeight="1" x14ac:dyDescent="0.25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</row>
    <row r="44" spans="1:22" ht="15.75" customHeight="1" x14ac:dyDescent="0.25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</row>
    <row r="45" spans="1:22" ht="15.75" customHeight="1" x14ac:dyDescent="0.25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</row>
    <row r="46" spans="1:22" ht="15.75" customHeight="1" x14ac:dyDescent="0.25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</row>
    <row r="47" spans="1:22" ht="15.75" customHeight="1" x14ac:dyDescent="0.25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</row>
    <row r="48" spans="1:22" ht="15.75" customHeight="1" x14ac:dyDescent="0.25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</row>
    <row r="49" spans="1:22" ht="15.75" customHeight="1" x14ac:dyDescent="0.25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</row>
    <row r="50" spans="1:22" ht="15.75" customHeight="1" x14ac:dyDescent="0.25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</row>
    <row r="51" spans="1:22" ht="15.75" customHeight="1" x14ac:dyDescent="0.25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</row>
    <row r="52" spans="1:22" ht="15.75" customHeight="1" x14ac:dyDescent="0.25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</row>
    <row r="53" spans="1:22" ht="15.75" customHeight="1" x14ac:dyDescent="0.25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</row>
    <row r="54" spans="1:22" ht="15.75" customHeight="1" x14ac:dyDescent="0.25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</row>
    <row r="55" spans="1:22" ht="15.75" customHeight="1" x14ac:dyDescent="0.25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</row>
    <row r="56" spans="1:22" ht="15.75" customHeight="1" x14ac:dyDescent="0.25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</row>
    <row r="57" spans="1:22" ht="15.75" customHeight="1" x14ac:dyDescent="0.25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</row>
    <row r="58" spans="1:22" ht="15.75" customHeight="1" x14ac:dyDescent="0.25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</row>
    <row r="59" spans="1:22" ht="15.75" customHeight="1" x14ac:dyDescent="0.25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</row>
    <row r="60" spans="1:22" ht="15.75" customHeight="1" x14ac:dyDescent="0.25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</row>
    <row r="61" spans="1:22" ht="15.75" customHeight="1" x14ac:dyDescent="0.25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</row>
    <row r="62" spans="1:22" ht="15.75" customHeight="1" x14ac:dyDescent="0.25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</row>
    <row r="63" spans="1:22" ht="15.75" customHeight="1" x14ac:dyDescent="0.25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</row>
    <row r="64" spans="1:22" ht="15.75" customHeight="1" x14ac:dyDescent="0.25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</row>
    <row r="65" spans="1:22" ht="15.75" customHeight="1" x14ac:dyDescent="0.25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</row>
    <row r="66" spans="1:22" ht="15.75" customHeight="1" x14ac:dyDescent="0.25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</row>
    <row r="67" spans="1:22" ht="15.75" customHeight="1" x14ac:dyDescent="0.25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</row>
    <row r="68" spans="1:22" ht="15.75" customHeight="1" x14ac:dyDescent="0.25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</row>
    <row r="69" spans="1:22" ht="15.75" customHeight="1" x14ac:dyDescent="0.25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</row>
    <row r="70" spans="1:22" ht="15.75" customHeight="1" x14ac:dyDescent="0.25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</row>
    <row r="71" spans="1:22" ht="15.75" customHeight="1" x14ac:dyDescent="0.25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</row>
    <row r="72" spans="1:22" ht="15.75" customHeight="1" x14ac:dyDescent="0.25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</row>
    <row r="73" spans="1:22" ht="15.75" customHeight="1" x14ac:dyDescent="0.25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</row>
    <row r="74" spans="1:22" ht="15.75" customHeight="1" x14ac:dyDescent="0.25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</row>
    <row r="75" spans="1:22" ht="15.75" customHeight="1" x14ac:dyDescent="0.25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</row>
    <row r="76" spans="1:22" ht="15.75" customHeight="1" x14ac:dyDescent="0.25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</row>
    <row r="77" spans="1:22" ht="15.75" customHeight="1" x14ac:dyDescent="0.25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</row>
    <row r="78" spans="1:22" ht="15.75" customHeight="1" x14ac:dyDescent="0.25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</row>
    <row r="79" spans="1:22" ht="15.75" customHeight="1" x14ac:dyDescent="0.25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</row>
    <row r="80" spans="1:22" ht="15.75" customHeight="1" x14ac:dyDescent="0.25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</row>
    <row r="81" spans="1:22" ht="15.75" customHeight="1" x14ac:dyDescent="0.25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</row>
    <row r="82" spans="1:22" ht="15.75" customHeight="1" x14ac:dyDescent="0.25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</row>
    <row r="83" spans="1:22" ht="15.75" customHeight="1" x14ac:dyDescent="0.25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</row>
    <row r="84" spans="1:22" ht="15.75" customHeight="1" x14ac:dyDescent="0.25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</row>
    <row r="85" spans="1:22" ht="15.75" customHeight="1" x14ac:dyDescent="0.25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</row>
    <row r="86" spans="1:22" ht="15.75" customHeight="1" x14ac:dyDescent="0.25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</row>
    <row r="87" spans="1:22" ht="15.75" customHeight="1" x14ac:dyDescent="0.25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</row>
    <row r="88" spans="1:22" ht="15.75" customHeight="1" x14ac:dyDescent="0.25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</row>
    <row r="89" spans="1:22" ht="15.75" customHeight="1" x14ac:dyDescent="0.25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</row>
    <row r="90" spans="1:22" ht="15.75" customHeight="1" x14ac:dyDescent="0.25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</row>
    <row r="91" spans="1:22" ht="15.75" customHeight="1" x14ac:dyDescent="0.25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</row>
    <row r="92" spans="1:22" ht="15.75" customHeight="1" x14ac:dyDescent="0.25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</row>
    <row r="93" spans="1:22" ht="15.75" customHeight="1" x14ac:dyDescent="0.25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</row>
    <row r="94" spans="1:22" ht="15.75" customHeight="1" x14ac:dyDescent="0.25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</row>
    <row r="95" spans="1:22" ht="15.75" customHeight="1" x14ac:dyDescent="0.25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</row>
    <row r="96" spans="1:22" ht="15.75" customHeight="1" x14ac:dyDescent="0.25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</row>
    <row r="97" spans="1:22" ht="15.75" customHeight="1" x14ac:dyDescent="0.25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</row>
    <row r="98" spans="1:22" ht="15.75" customHeight="1" x14ac:dyDescent="0.25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</row>
    <row r="99" spans="1:22" ht="15.75" customHeight="1" x14ac:dyDescent="0.25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</row>
    <row r="100" spans="1:22" ht="15.75" customHeight="1" x14ac:dyDescent="0.25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</row>
    <row r="101" spans="1:22" ht="15.75" customHeight="1" x14ac:dyDescent="0.25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</row>
    <row r="102" spans="1:22" ht="15.75" customHeight="1" x14ac:dyDescent="0.25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</row>
    <row r="103" spans="1:22" ht="15.75" customHeight="1" x14ac:dyDescent="0.25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</row>
    <row r="104" spans="1:22" ht="15.75" customHeight="1" x14ac:dyDescent="0.25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</row>
    <row r="105" spans="1:22" ht="15.75" customHeight="1" x14ac:dyDescent="0.25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</row>
    <row r="106" spans="1:22" ht="15.75" customHeight="1" x14ac:dyDescent="0.25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</row>
    <row r="107" spans="1:22" ht="15.75" customHeight="1" x14ac:dyDescent="0.25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</row>
    <row r="108" spans="1:22" ht="15.75" customHeight="1" x14ac:dyDescent="0.25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</row>
    <row r="109" spans="1:22" ht="15.75" customHeight="1" x14ac:dyDescent="0.25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</row>
    <row r="110" spans="1:22" ht="15.75" customHeight="1" x14ac:dyDescent="0.25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</row>
    <row r="111" spans="1:22" ht="15.75" customHeight="1" x14ac:dyDescent="0.25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</row>
    <row r="112" spans="1:22" ht="15.75" customHeight="1" x14ac:dyDescent="0.25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</row>
    <row r="113" spans="1:22" ht="15.75" customHeight="1" x14ac:dyDescent="0.25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</row>
    <row r="114" spans="1:22" ht="15.75" customHeight="1" x14ac:dyDescent="0.25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</row>
    <row r="115" spans="1:22" ht="15.75" customHeight="1" x14ac:dyDescent="0.25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</row>
    <row r="116" spans="1:22" ht="15.75" customHeight="1" x14ac:dyDescent="0.25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</row>
    <row r="117" spans="1:22" ht="15.75" customHeight="1" x14ac:dyDescent="0.25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</row>
    <row r="118" spans="1:22" ht="15.75" customHeight="1" x14ac:dyDescent="0.25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</row>
    <row r="119" spans="1:22" ht="15.75" customHeight="1" x14ac:dyDescent="0.25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</row>
    <row r="120" spans="1:22" ht="15.75" customHeight="1" x14ac:dyDescent="0.25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</row>
    <row r="121" spans="1:22" ht="15.75" customHeight="1" x14ac:dyDescent="0.25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</row>
    <row r="122" spans="1:22" ht="15.75" customHeight="1" x14ac:dyDescent="0.25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</row>
    <row r="123" spans="1:22" ht="15.75" customHeight="1" x14ac:dyDescent="0.25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</row>
    <row r="124" spans="1:22" ht="15.75" customHeight="1" x14ac:dyDescent="0.25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</row>
    <row r="125" spans="1:22" ht="15.75" customHeight="1" x14ac:dyDescent="0.25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</row>
    <row r="126" spans="1:22" ht="15.75" customHeight="1" x14ac:dyDescent="0.25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</row>
    <row r="127" spans="1:22" ht="15.75" customHeight="1" x14ac:dyDescent="0.25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</row>
    <row r="128" spans="1:22" ht="15.75" customHeight="1" x14ac:dyDescent="0.25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</row>
    <row r="129" spans="1:22" ht="15.75" customHeight="1" x14ac:dyDescent="0.25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</row>
    <row r="130" spans="1:22" ht="15.75" customHeight="1" x14ac:dyDescent="0.25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</row>
    <row r="131" spans="1:22" ht="15.75" customHeight="1" x14ac:dyDescent="0.25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</row>
    <row r="132" spans="1:22" ht="15.75" customHeight="1" x14ac:dyDescent="0.25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</row>
    <row r="133" spans="1:22" ht="15.75" customHeight="1" x14ac:dyDescent="0.25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</row>
    <row r="134" spans="1:22" ht="15.75" customHeight="1" x14ac:dyDescent="0.25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</row>
    <row r="135" spans="1:22" ht="15.75" customHeight="1" x14ac:dyDescent="0.25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</row>
    <row r="136" spans="1:22" ht="15.75" customHeight="1" x14ac:dyDescent="0.25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</row>
    <row r="137" spans="1:22" ht="15.75" customHeight="1" x14ac:dyDescent="0.25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</row>
    <row r="138" spans="1:22" ht="15.75" customHeight="1" x14ac:dyDescent="0.25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</row>
    <row r="139" spans="1:22" ht="15.75" customHeight="1" x14ac:dyDescent="0.25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</row>
    <row r="140" spans="1:22" ht="15.75" customHeight="1" x14ac:dyDescent="0.25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</row>
    <row r="141" spans="1:22" ht="15.75" customHeight="1" x14ac:dyDescent="0.25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</row>
    <row r="142" spans="1:22" ht="15.75" customHeight="1" x14ac:dyDescent="0.25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</row>
    <row r="143" spans="1:22" ht="15.75" customHeight="1" x14ac:dyDescent="0.25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</row>
    <row r="144" spans="1:22" ht="15.75" customHeight="1" x14ac:dyDescent="0.25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</row>
    <row r="145" spans="1:22" ht="15.75" customHeight="1" x14ac:dyDescent="0.25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</row>
    <row r="146" spans="1:22" ht="15.75" customHeight="1" x14ac:dyDescent="0.25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</row>
    <row r="147" spans="1:22" ht="15.75" customHeight="1" x14ac:dyDescent="0.25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</row>
    <row r="148" spans="1:22" ht="15.75" customHeight="1" x14ac:dyDescent="0.25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</row>
    <row r="149" spans="1:22" ht="15.75" customHeight="1" x14ac:dyDescent="0.25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</row>
    <row r="150" spans="1:22" ht="15.75" customHeight="1" x14ac:dyDescent="0.25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</row>
    <row r="151" spans="1:22" ht="15.75" customHeight="1" x14ac:dyDescent="0.25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</row>
    <row r="152" spans="1:22" ht="15.75" customHeight="1" x14ac:dyDescent="0.25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</row>
    <row r="153" spans="1:22" ht="15.75" customHeight="1" x14ac:dyDescent="0.25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</row>
    <row r="154" spans="1:22" ht="15.75" customHeight="1" x14ac:dyDescent="0.25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</row>
    <row r="155" spans="1:22" ht="15.75" customHeight="1" x14ac:dyDescent="0.25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</row>
    <row r="156" spans="1:22" ht="15.75" customHeight="1" x14ac:dyDescent="0.25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</row>
    <row r="157" spans="1:22" ht="15.75" customHeight="1" x14ac:dyDescent="0.25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</row>
    <row r="158" spans="1:22" ht="15.75" customHeight="1" x14ac:dyDescent="0.25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</row>
    <row r="159" spans="1:22" ht="15.75" customHeight="1" x14ac:dyDescent="0.25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</row>
    <row r="160" spans="1:22" ht="15.75" customHeight="1" x14ac:dyDescent="0.25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</row>
    <row r="161" spans="1:22" ht="15.75" customHeight="1" x14ac:dyDescent="0.25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</row>
    <row r="162" spans="1:22" ht="15.75" customHeight="1" x14ac:dyDescent="0.25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</row>
    <row r="163" spans="1:22" ht="15.75" customHeight="1" x14ac:dyDescent="0.25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</row>
    <row r="164" spans="1:22" ht="15.75" customHeight="1" x14ac:dyDescent="0.25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</row>
    <row r="165" spans="1:22" ht="15.75" customHeight="1" x14ac:dyDescent="0.25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</row>
    <row r="166" spans="1:22" ht="15.75" customHeight="1" x14ac:dyDescent="0.25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</row>
    <row r="167" spans="1:22" ht="15.75" customHeight="1" x14ac:dyDescent="0.25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</row>
    <row r="168" spans="1:22" ht="15.75" customHeight="1" x14ac:dyDescent="0.25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</row>
    <row r="169" spans="1:22" ht="15.75" customHeight="1" x14ac:dyDescent="0.25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</row>
    <row r="170" spans="1:22" ht="15.75" customHeight="1" x14ac:dyDescent="0.25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</row>
    <row r="171" spans="1:22" ht="15.75" customHeight="1" x14ac:dyDescent="0.25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</row>
    <row r="172" spans="1:22" ht="15.75" customHeight="1" x14ac:dyDescent="0.25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</row>
    <row r="173" spans="1:22" ht="15.75" customHeight="1" x14ac:dyDescent="0.25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</row>
    <row r="174" spans="1:22" ht="15.75" customHeight="1" x14ac:dyDescent="0.25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</row>
    <row r="175" spans="1:22" ht="15.75" customHeight="1" x14ac:dyDescent="0.25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</row>
    <row r="176" spans="1:22" ht="15.75" customHeight="1" x14ac:dyDescent="0.25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</row>
    <row r="177" spans="1:22" ht="15.75" customHeight="1" x14ac:dyDescent="0.25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</row>
    <row r="178" spans="1:22" ht="15.75" customHeight="1" x14ac:dyDescent="0.25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</row>
    <row r="179" spans="1:22" ht="15.75" customHeight="1" x14ac:dyDescent="0.25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</row>
    <row r="180" spans="1:22" ht="15.75" customHeight="1" x14ac:dyDescent="0.25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</row>
    <row r="181" spans="1:22" ht="15.75" customHeight="1" x14ac:dyDescent="0.25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</row>
    <row r="182" spans="1:22" ht="15.75" customHeight="1" x14ac:dyDescent="0.25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</row>
    <row r="183" spans="1:22" ht="15.75" customHeight="1" x14ac:dyDescent="0.25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</row>
    <row r="184" spans="1:22" ht="15.75" customHeight="1" x14ac:dyDescent="0.25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</row>
    <row r="185" spans="1:22" ht="15.75" customHeight="1" x14ac:dyDescent="0.25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</row>
    <row r="186" spans="1:22" ht="15.75" customHeight="1" x14ac:dyDescent="0.25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</row>
    <row r="187" spans="1:22" ht="15.75" customHeight="1" x14ac:dyDescent="0.25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</row>
    <row r="188" spans="1:22" ht="15.75" customHeight="1" x14ac:dyDescent="0.25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</row>
    <row r="189" spans="1:22" ht="15.75" customHeight="1" x14ac:dyDescent="0.25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</row>
    <row r="190" spans="1:22" ht="15.75" customHeight="1" x14ac:dyDescent="0.25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</row>
    <row r="191" spans="1:22" ht="15.75" customHeight="1" x14ac:dyDescent="0.25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</row>
    <row r="192" spans="1:22" ht="15.75" customHeight="1" x14ac:dyDescent="0.25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</row>
    <row r="193" spans="1:22" ht="15.75" customHeight="1" x14ac:dyDescent="0.25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</row>
    <row r="194" spans="1:22" ht="15.75" customHeight="1" x14ac:dyDescent="0.25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</row>
    <row r="195" spans="1:22" ht="15.75" customHeight="1" x14ac:dyDescent="0.25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</row>
    <row r="196" spans="1:22" ht="15.75" customHeight="1" x14ac:dyDescent="0.25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</row>
    <row r="197" spans="1:22" ht="15.75" customHeight="1" x14ac:dyDescent="0.25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</row>
    <row r="198" spans="1:22" ht="15.75" customHeight="1" x14ac:dyDescent="0.25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</row>
    <row r="199" spans="1:22" ht="15.75" customHeight="1" x14ac:dyDescent="0.25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</row>
    <row r="200" spans="1:22" ht="15.75" customHeight="1" x14ac:dyDescent="0.25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</row>
    <row r="201" spans="1:22" ht="15.75" customHeight="1" x14ac:dyDescent="0.25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</row>
    <row r="202" spans="1:22" ht="15.75" customHeight="1" x14ac:dyDescent="0.25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</row>
    <row r="203" spans="1:22" ht="15.75" customHeight="1" x14ac:dyDescent="0.25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</row>
    <row r="204" spans="1:22" ht="15.75" customHeight="1" x14ac:dyDescent="0.25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</row>
    <row r="205" spans="1:22" ht="15.75" customHeight="1" x14ac:dyDescent="0.25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</row>
    <row r="206" spans="1:22" ht="15.75" customHeight="1" x14ac:dyDescent="0.25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</row>
    <row r="207" spans="1:22" ht="15.75" customHeight="1" x14ac:dyDescent="0.25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</row>
    <row r="208" spans="1:22" ht="15.75" customHeight="1" x14ac:dyDescent="0.25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</row>
    <row r="209" spans="1:22" ht="15.75" customHeight="1" x14ac:dyDescent="0.25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</row>
    <row r="210" spans="1:22" ht="15.75" customHeight="1" x14ac:dyDescent="0.25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</row>
    <row r="211" spans="1:22" ht="15.75" customHeight="1" x14ac:dyDescent="0.25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</row>
    <row r="212" spans="1:22" ht="15.75" customHeight="1" x14ac:dyDescent="0.25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</row>
    <row r="213" spans="1:22" ht="15.75" customHeight="1" x14ac:dyDescent="0.25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</row>
    <row r="214" spans="1:22" ht="15.75" customHeight="1" x14ac:dyDescent="0.25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</row>
    <row r="215" spans="1:22" ht="15.75" customHeight="1" x14ac:dyDescent="0.25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</row>
    <row r="216" spans="1:22" ht="15.75" customHeight="1" x14ac:dyDescent="0.25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</row>
    <row r="217" spans="1:22" ht="15.75" customHeight="1" x14ac:dyDescent="0.25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</row>
    <row r="218" spans="1:22" ht="15.75" customHeight="1" x14ac:dyDescent="0.25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</row>
    <row r="219" spans="1:22" ht="15.75" customHeight="1" x14ac:dyDescent="0.25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</row>
    <row r="220" spans="1:22" ht="15.75" customHeight="1" x14ac:dyDescent="0.25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</row>
    <row r="221" spans="1:22" ht="15.75" customHeight="1" x14ac:dyDescent="0.25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</row>
    <row r="222" spans="1:22" ht="15.75" customHeight="1" x14ac:dyDescent="0.25"/>
    <row r="223" spans="1:22" ht="15.75" customHeight="1" x14ac:dyDescent="0.25"/>
    <row r="224" spans="1:22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pane ySplit="5" topLeftCell="A81" activePane="bottomLeft" state="frozen"/>
      <selection pane="bottomLeft" activeCell="C98" sqref="C98"/>
    </sheetView>
  </sheetViews>
  <sheetFormatPr baseColWidth="10" defaultColWidth="12.6640625" defaultRowHeight="15" customHeight="1" x14ac:dyDescent="0.25"/>
  <cols>
    <col min="1" max="1" width="56.88671875" customWidth="1"/>
    <col min="2" max="2" width="10.44140625" customWidth="1"/>
    <col min="3" max="3" width="16.109375" customWidth="1"/>
    <col min="4" max="4" width="12.6640625" customWidth="1"/>
    <col min="5" max="5" width="11.109375" customWidth="1"/>
    <col min="6" max="6" width="16.109375" customWidth="1"/>
    <col min="7" max="7" width="12.6640625" customWidth="1"/>
    <col min="8" max="8" width="11.109375" customWidth="1"/>
    <col min="9" max="9" width="16.109375" customWidth="1"/>
    <col min="10" max="10" width="12.6640625" customWidth="1"/>
    <col min="11" max="11" width="11.109375" customWidth="1"/>
    <col min="12" max="12" width="16.109375" customWidth="1"/>
    <col min="13" max="13" width="12.6640625" customWidth="1"/>
    <col min="14" max="14" width="11.109375" customWidth="1"/>
    <col min="15" max="15" width="16.109375" customWidth="1"/>
    <col min="16" max="16" width="12.6640625" customWidth="1"/>
    <col min="17" max="26" width="10" customWidth="1"/>
  </cols>
  <sheetData>
    <row r="1" spans="1:26" ht="12.75" customHeight="1" x14ac:dyDescent="0.25">
      <c r="A1" s="83" t="s">
        <v>77</v>
      </c>
      <c r="B1" s="8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5">
      <c r="A2" s="1"/>
      <c r="B2" s="87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5">
      <c r="A3" s="1"/>
      <c r="B3" s="87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1"/>
      <c r="B4" s="137" t="s">
        <v>47</v>
      </c>
      <c r="C4" s="130"/>
      <c r="D4" s="134"/>
      <c r="E4" s="137" t="s">
        <v>49</v>
      </c>
      <c r="F4" s="130"/>
      <c r="G4" s="134"/>
      <c r="H4" s="137" t="s">
        <v>50</v>
      </c>
      <c r="I4" s="130"/>
      <c r="J4" s="134"/>
      <c r="K4" s="137" t="s">
        <v>51</v>
      </c>
      <c r="L4" s="130"/>
      <c r="M4" s="134"/>
      <c r="N4" s="137" t="s">
        <v>52</v>
      </c>
      <c r="O4" s="130"/>
      <c r="P4" s="134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5">
      <c r="A5" s="102" t="s">
        <v>78</v>
      </c>
      <c r="B5" s="102" t="s">
        <v>56</v>
      </c>
      <c r="C5" s="102" t="s">
        <v>57</v>
      </c>
      <c r="D5" s="102" t="s">
        <v>79</v>
      </c>
      <c r="E5" s="102" t="s">
        <v>56</v>
      </c>
      <c r="F5" s="102" t="s">
        <v>57</v>
      </c>
      <c r="G5" s="102" t="s">
        <v>79</v>
      </c>
      <c r="H5" s="102" t="s">
        <v>56</v>
      </c>
      <c r="I5" s="102" t="s">
        <v>57</v>
      </c>
      <c r="J5" s="102" t="s">
        <v>79</v>
      </c>
      <c r="K5" s="102" t="s">
        <v>56</v>
      </c>
      <c r="L5" s="102" t="s">
        <v>57</v>
      </c>
      <c r="M5" s="102" t="s">
        <v>79</v>
      </c>
      <c r="N5" s="102" t="s">
        <v>56</v>
      </c>
      <c r="O5" s="102" t="s">
        <v>57</v>
      </c>
      <c r="P5" s="102" t="s">
        <v>79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25">
      <c r="A6" s="103" t="s">
        <v>80</v>
      </c>
      <c r="B6" s="102"/>
      <c r="C6" s="102"/>
      <c r="D6" s="102"/>
      <c r="E6" s="104"/>
      <c r="F6" s="105"/>
      <c r="G6" s="102"/>
      <c r="H6" s="104"/>
      <c r="I6" s="105"/>
      <c r="J6" s="102"/>
      <c r="K6" s="104"/>
      <c r="L6" s="105"/>
      <c r="M6" s="102"/>
      <c r="N6" s="104"/>
      <c r="O6" s="105"/>
      <c r="P6" s="102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5">
      <c r="A7" s="106"/>
      <c r="B7" s="107"/>
      <c r="C7" s="108"/>
      <c r="D7" s="109">
        <f t="shared" ref="D7:D14" si="0">+C7*B7</f>
        <v>0</v>
      </c>
      <c r="E7" s="104"/>
      <c r="F7" s="105"/>
      <c r="G7" s="105">
        <f t="shared" ref="G7:G14" si="1">+F7*E7</f>
        <v>0</v>
      </c>
      <c r="H7" s="104"/>
      <c r="I7" s="105"/>
      <c r="J7" s="105">
        <f t="shared" ref="J7:J14" si="2">+I7*H7</f>
        <v>0</v>
      </c>
      <c r="K7" s="104"/>
      <c r="L7" s="105"/>
      <c r="M7" s="105">
        <f t="shared" ref="M7:M14" si="3">+L7*K7</f>
        <v>0</v>
      </c>
      <c r="N7" s="104"/>
      <c r="O7" s="105"/>
      <c r="P7" s="105">
        <f t="shared" ref="P7:P14" si="4">+O7*N7</f>
        <v>0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5">
      <c r="A8" s="86"/>
      <c r="B8" s="107"/>
      <c r="C8" s="108"/>
      <c r="D8" s="109">
        <f t="shared" si="0"/>
        <v>0</v>
      </c>
      <c r="E8" s="104"/>
      <c r="F8" s="105"/>
      <c r="G8" s="105">
        <f t="shared" si="1"/>
        <v>0</v>
      </c>
      <c r="H8" s="104"/>
      <c r="I8" s="105"/>
      <c r="J8" s="105">
        <f t="shared" si="2"/>
        <v>0</v>
      </c>
      <c r="K8" s="104"/>
      <c r="L8" s="105"/>
      <c r="M8" s="105">
        <f t="shared" si="3"/>
        <v>0</v>
      </c>
      <c r="N8" s="104"/>
      <c r="O8" s="105"/>
      <c r="P8" s="105">
        <f t="shared" si="4"/>
        <v>0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5">
      <c r="A9" s="86"/>
      <c r="B9" s="107"/>
      <c r="C9" s="108"/>
      <c r="D9" s="109">
        <f t="shared" si="0"/>
        <v>0</v>
      </c>
      <c r="E9" s="104"/>
      <c r="F9" s="105"/>
      <c r="G9" s="105">
        <f t="shared" si="1"/>
        <v>0</v>
      </c>
      <c r="H9" s="104"/>
      <c r="I9" s="105"/>
      <c r="J9" s="105">
        <f t="shared" si="2"/>
        <v>0</v>
      </c>
      <c r="K9" s="104"/>
      <c r="L9" s="105"/>
      <c r="M9" s="105">
        <f t="shared" si="3"/>
        <v>0</v>
      </c>
      <c r="N9" s="104"/>
      <c r="O9" s="105"/>
      <c r="P9" s="105">
        <f t="shared" si="4"/>
        <v>0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5">
      <c r="A10" s="86"/>
      <c r="B10" s="107"/>
      <c r="C10" s="108"/>
      <c r="D10" s="109">
        <f t="shared" si="0"/>
        <v>0</v>
      </c>
      <c r="E10" s="104"/>
      <c r="F10" s="105"/>
      <c r="G10" s="105">
        <f t="shared" si="1"/>
        <v>0</v>
      </c>
      <c r="H10" s="104"/>
      <c r="I10" s="105"/>
      <c r="J10" s="105">
        <f t="shared" si="2"/>
        <v>0</v>
      </c>
      <c r="K10" s="104"/>
      <c r="L10" s="105"/>
      <c r="M10" s="105">
        <f t="shared" si="3"/>
        <v>0</v>
      </c>
      <c r="N10" s="104"/>
      <c r="O10" s="105"/>
      <c r="P10" s="105">
        <f t="shared" si="4"/>
        <v>0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5">
      <c r="A11" s="86"/>
      <c r="B11" s="107"/>
      <c r="C11" s="110"/>
      <c r="D11" s="109">
        <f t="shared" si="0"/>
        <v>0</v>
      </c>
      <c r="E11" s="104"/>
      <c r="F11" s="105"/>
      <c r="G11" s="105">
        <f t="shared" si="1"/>
        <v>0</v>
      </c>
      <c r="H11" s="104"/>
      <c r="I11" s="105"/>
      <c r="J11" s="105">
        <f t="shared" si="2"/>
        <v>0</v>
      </c>
      <c r="K11" s="104"/>
      <c r="L11" s="105"/>
      <c r="M11" s="105">
        <f t="shared" si="3"/>
        <v>0</v>
      </c>
      <c r="N11" s="104"/>
      <c r="O11" s="105"/>
      <c r="P11" s="105">
        <f t="shared" si="4"/>
        <v>0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25">
      <c r="A12" s="86"/>
      <c r="B12" s="107"/>
      <c r="C12" s="108"/>
      <c r="D12" s="109">
        <f t="shared" si="0"/>
        <v>0</v>
      </c>
      <c r="E12" s="104"/>
      <c r="F12" s="105"/>
      <c r="G12" s="105">
        <f t="shared" si="1"/>
        <v>0</v>
      </c>
      <c r="H12" s="104"/>
      <c r="I12" s="105"/>
      <c r="J12" s="105">
        <f t="shared" si="2"/>
        <v>0</v>
      </c>
      <c r="K12" s="104"/>
      <c r="L12" s="105"/>
      <c r="M12" s="105">
        <f t="shared" si="3"/>
        <v>0</v>
      </c>
      <c r="N12" s="104"/>
      <c r="O12" s="105"/>
      <c r="P12" s="105">
        <f t="shared" si="4"/>
        <v>0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25">
      <c r="A13" s="86"/>
      <c r="B13" s="107"/>
      <c r="C13" s="108"/>
      <c r="D13" s="109">
        <f t="shared" si="0"/>
        <v>0</v>
      </c>
      <c r="E13" s="104"/>
      <c r="F13" s="105"/>
      <c r="G13" s="105">
        <f t="shared" si="1"/>
        <v>0</v>
      </c>
      <c r="H13" s="104"/>
      <c r="I13" s="105"/>
      <c r="J13" s="105">
        <f t="shared" si="2"/>
        <v>0</v>
      </c>
      <c r="K13" s="104"/>
      <c r="L13" s="105"/>
      <c r="M13" s="105">
        <f t="shared" si="3"/>
        <v>0</v>
      </c>
      <c r="N13" s="104"/>
      <c r="O13" s="105"/>
      <c r="P13" s="105">
        <f t="shared" si="4"/>
        <v>0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25">
      <c r="A14" s="86"/>
      <c r="B14" s="107"/>
      <c r="C14" s="108"/>
      <c r="D14" s="109">
        <f t="shared" si="0"/>
        <v>0</v>
      </c>
      <c r="E14" s="104"/>
      <c r="F14" s="105"/>
      <c r="G14" s="105">
        <f t="shared" si="1"/>
        <v>0</v>
      </c>
      <c r="H14" s="104"/>
      <c r="I14" s="105"/>
      <c r="J14" s="105">
        <f t="shared" si="2"/>
        <v>0</v>
      </c>
      <c r="K14" s="104"/>
      <c r="L14" s="105"/>
      <c r="M14" s="105">
        <f t="shared" si="3"/>
        <v>0</v>
      </c>
      <c r="N14" s="104"/>
      <c r="O14" s="105"/>
      <c r="P14" s="105">
        <f t="shared" si="4"/>
        <v>0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5">
      <c r="A15" s="111" t="s">
        <v>48</v>
      </c>
      <c r="B15" s="102"/>
      <c r="C15" s="102"/>
      <c r="D15" s="112">
        <f>+SUM(D7:D14)</f>
        <v>0</v>
      </c>
      <c r="E15" s="104"/>
      <c r="F15" s="105"/>
      <c r="G15" s="113">
        <f>+SUM(G7:G14)</f>
        <v>0</v>
      </c>
      <c r="H15" s="104"/>
      <c r="I15" s="105"/>
      <c r="J15" s="113">
        <f>+SUM(J7:J14)</f>
        <v>0</v>
      </c>
      <c r="K15" s="104"/>
      <c r="L15" s="105"/>
      <c r="M15" s="113">
        <f>+SUM(M7:M14)</f>
        <v>0</v>
      </c>
      <c r="N15" s="104"/>
      <c r="O15" s="105"/>
      <c r="P15" s="113">
        <f>+SUM(P7:P14)</f>
        <v>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25">
      <c r="A16" s="114"/>
      <c r="B16" s="115"/>
      <c r="C16" s="115"/>
      <c r="D16" s="115"/>
      <c r="E16" s="104"/>
      <c r="F16" s="105"/>
      <c r="G16" s="115"/>
      <c r="H16" s="104"/>
      <c r="I16" s="105"/>
      <c r="J16" s="115"/>
      <c r="K16" s="104"/>
      <c r="L16" s="105"/>
      <c r="M16" s="115"/>
      <c r="N16" s="104"/>
      <c r="O16" s="105"/>
      <c r="P16" s="115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5">
      <c r="A17" s="103" t="s">
        <v>81</v>
      </c>
      <c r="B17" s="102"/>
      <c r="C17" s="102"/>
      <c r="D17" s="102"/>
      <c r="E17" s="104"/>
      <c r="F17" s="105"/>
      <c r="G17" s="102"/>
      <c r="H17" s="104"/>
      <c r="I17" s="105"/>
      <c r="J17" s="102"/>
      <c r="K17" s="104"/>
      <c r="L17" s="105"/>
      <c r="M17" s="102"/>
      <c r="N17" s="104"/>
      <c r="O17" s="105"/>
      <c r="P17" s="102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5">
      <c r="A18" s="86" t="s">
        <v>82</v>
      </c>
      <c r="B18" s="107">
        <v>4</v>
      </c>
      <c r="C18" s="108">
        <v>2000000</v>
      </c>
      <c r="D18" s="109">
        <f t="shared" ref="D18:D38" si="5">+C18*B18</f>
        <v>8000000</v>
      </c>
      <c r="E18" s="104"/>
      <c r="F18" s="105"/>
      <c r="G18" s="105">
        <f t="shared" ref="G18:G38" si="6">+F18*E18</f>
        <v>0</v>
      </c>
      <c r="H18" s="104"/>
      <c r="I18" s="105"/>
      <c r="J18" s="105">
        <f t="shared" ref="J18:J38" si="7">+I18*H18</f>
        <v>0</v>
      </c>
      <c r="K18" s="104"/>
      <c r="L18" s="105"/>
      <c r="M18" s="105">
        <f t="shared" ref="M18:M38" si="8">+L18*K18</f>
        <v>0</v>
      </c>
      <c r="N18" s="104"/>
      <c r="O18" s="105"/>
      <c r="P18" s="105">
        <f t="shared" ref="P18:P38" si="9">+O18*N18</f>
        <v>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5">
      <c r="A19" s="86" t="s">
        <v>83</v>
      </c>
      <c r="B19" s="107">
        <v>4</v>
      </c>
      <c r="C19" s="108">
        <v>1000000</v>
      </c>
      <c r="D19" s="109">
        <f t="shared" si="5"/>
        <v>4000000</v>
      </c>
      <c r="E19" s="104"/>
      <c r="F19" s="105"/>
      <c r="G19" s="105">
        <f t="shared" si="6"/>
        <v>0</v>
      </c>
      <c r="H19" s="104"/>
      <c r="I19" s="105"/>
      <c r="J19" s="105">
        <f t="shared" si="7"/>
        <v>0</v>
      </c>
      <c r="K19" s="104"/>
      <c r="L19" s="105"/>
      <c r="M19" s="105">
        <f t="shared" si="8"/>
        <v>0</v>
      </c>
      <c r="N19" s="104"/>
      <c r="O19" s="105"/>
      <c r="P19" s="105">
        <f t="shared" si="9"/>
        <v>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5">
      <c r="A20" s="86" t="s">
        <v>84</v>
      </c>
      <c r="B20" s="107">
        <v>4</v>
      </c>
      <c r="C20" s="108">
        <v>180000</v>
      </c>
      <c r="D20" s="109">
        <f t="shared" si="5"/>
        <v>720000</v>
      </c>
      <c r="E20" s="104"/>
      <c r="F20" s="105"/>
      <c r="G20" s="105">
        <f t="shared" si="6"/>
        <v>0</v>
      </c>
      <c r="H20" s="104"/>
      <c r="I20" s="105"/>
      <c r="J20" s="105">
        <f t="shared" si="7"/>
        <v>0</v>
      </c>
      <c r="K20" s="104"/>
      <c r="L20" s="105"/>
      <c r="M20" s="105">
        <f t="shared" si="8"/>
        <v>0</v>
      </c>
      <c r="N20" s="104"/>
      <c r="O20" s="105"/>
      <c r="P20" s="105">
        <f t="shared" si="9"/>
        <v>0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5">
      <c r="A21" s="86"/>
      <c r="B21" s="107"/>
      <c r="C21" s="108"/>
      <c r="D21" s="109">
        <f t="shared" si="5"/>
        <v>0</v>
      </c>
      <c r="E21" s="104"/>
      <c r="F21" s="105"/>
      <c r="G21" s="105">
        <f t="shared" si="6"/>
        <v>0</v>
      </c>
      <c r="H21" s="104"/>
      <c r="I21" s="105"/>
      <c r="J21" s="105">
        <f t="shared" si="7"/>
        <v>0</v>
      </c>
      <c r="K21" s="104"/>
      <c r="L21" s="105"/>
      <c r="M21" s="105">
        <f t="shared" si="8"/>
        <v>0</v>
      </c>
      <c r="N21" s="104"/>
      <c r="O21" s="105"/>
      <c r="P21" s="105">
        <f t="shared" si="9"/>
        <v>0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5">
      <c r="A22" s="86"/>
      <c r="B22" s="107"/>
      <c r="C22" s="108"/>
      <c r="D22" s="109">
        <f t="shared" si="5"/>
        <v>0</v>
      </c>
      <c r="E22" s="104"/>
      <c r="F22" s="105"/>
      <c r="G22" s="105">
        <f t="shared" si="6"/>
        <v>0</v>
      </c>
      <c r="H22" s="104"/>
      <c r="I22" s="105"/>
      <c r="J22" s="105">
        <f t="shared" si="7"/>
        <v>0</v>
      </c>
      <c r="K22" s="104"/>
      <c r="L22" s="105"/>
      <c r="M22" s="105">
        <f t="shared" si="8"/>
        <v>0</v>
      </c>
      <c r="N22" s="104"/>
      <c r="O22" s="105"/>
      <c r="P22" s="105">
        <f t="shared" si="9"/>
        <v>0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86"/>
      <c r="B23" s="107"/>
      <c r="C23" s="108"/>
      <c r="D23" s="109">
        <f t="shared" si="5"/>
        <v>0</v>
      </c>
      <c r="E23" s="104"/>
      <c r="F23" s="105"/>
      <c r="G23" s="105">
        <f t="shared" si="6"/>
        <v>0</v>
      </c>
      <c r="H23" s="104"/>
      <c r="I23" s="105"/>
      <c r="J23" s="105">
        <f t="shared" si="7"/>
        <v>0</v>
      </c>
      <c r="K23" s="104"/>
      <c r="L23" s="105"/>
      <c r="M23" s="105">
        <f t="shared" si="8"/>
        <v>0</v>
      </c>
      <c r="N23" s="104"/>
      <c r="O23" s="105"/>
      <c r="P23" s="105">
        <f t="shared" si="9"/>
        <v>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86"/>
      <c r="B24" s="107"/>
      <c r="C24" s="108"/>
      <c r="D24" s="109">
        <f t="shared" si="5"/>
        <v>0</v>
      </c>
      <c r="E24" s="104"/>
      <c r="F24" s="105"/>
      <c r="G24" s="105">
        <f t="shared" si="6"/>
        <v>0</v>
      </c>
      <c r="H24" s="104"/>
      <c r="I24" s="105"/>
      <c r="J24" s="105">
        <f t="shared" si="7"/>
        <v>0</v>
      </c>
      <c r="K24" s="104"/>
      <c r="L24" s="105"/>
      <c r="M24" s="105">
        <f t="shared" si="8"/>
        <v>0</v>
      </c>
      <c r="N24" s="104"/>
      <c r="O24" s="105"/>
      <c r="P24" s="105">
        <f t="shared" si="9"/>
        <v>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86"/>
      <c r="B25" s="107"/>
      <c r="C25" s="108"/>
      <c r="D25" s="109">
        <f t="shared" si="5"/>
        <v>0</v>
      </c>
      <c r="E25" s="104"/>
      <c r="F25" s="105"/>
      <c r="G25" s="105">
        <f t="shared" si="6"/>
        <v>0</v>
      </c>
      <c r="H25" s="104"/>
      <c r="I25" s="105"/>
      <c r="J25" s="105">
        <f t="shared" si="7"/>
        <v>0</v>
      </c>
      <c r="K25" s="104"/>
      <c r="L25" s="105"/>
      <c r="M25" s="105">
        <f t="shared" si="8"/>
        <v>0</v>
      </c>
      <c r="N25" s="104"/>
      <c r="O25" s="105"/>
      <c r="P25" s="105">
        <f t="shared" si="9"/>
        <v>0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86"/>
      <c r="B26" s="107"/>
      <c r="C26" s="108"/>
      <c r="D26" s="109">
        <f t="shared" si="5"/>
        <v>0</v>
      </c>
      <c r="E26" s="104"/>
      <c r="F26" s="105"/>
      <c r="G26" s="105">
        <f t="shared" si="6"/>
        <v>0</v>
      </c>
      <c r="H26" s="104"/>
      <c r="I26" s="105"/>
      <c r="J26" s="105">
        <f t="shared" si="7"/>
        <v>0</v>
      </c>
      <c r="K26" s="104"/>
      <c r="L26" s="105"/>
      <c r="M26" s="105">
        <f t="shared" si="8"/>
        <v>0</v>
      </c>
      <c r="N26" s="104"/>
      <c r="O26" s="105"/>
      <c r="P26" s="105">
        <f t="shared" si="9"/>
        <v>0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86"/>
      <c r="B27" s="107"/>
      <c r="C27" s="108"/>
      <c r="D27" s="109">
        <f t="shared" si="5"/>
        <v>0</v>
      </c>
      <c r="E27" s="104"/>
      <c r="F27" s="105"/>
      <c r="G27" s="105">
        <f t="shared" si="6"/>
        <v>0</v>
      </c>
      <c r="H27" s="104"/>
      <c r="I27" s="105"/>
      <c r="J27" s="105">
        <f t="shared" si="7"/>
        <v>0</v>
      </c>
      <c r="K27" s="104"/>
      <c r="L27" s="105"/>
      <c r="M27" s="105">
        <f t="shared" si="8"/>
        <v>0</v>
      </c>
      <c r="N27" s="104"/>
      <c r="O27" s="105"/>
      <c r="P27" s="105">
        <f t="shared" si="9"/>
        <v>0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86"/>
      <c r="B28" s="107"/>
      <c r="C28" s="108"/>
      <c r="D28" s="109">
        <f t="shared" si="5"/>
        <v>0</v>
      </c>
      <c r="E28" s="104"/>
      <c r="F28" s="105"/>
      <c r="G28" s="105">
        <f t="shared" si="6"/>
        <v>0</v>
      </c>
      <c r="H28" s="104"/>
      <c r="I28" s="105"/>
      <c r="J28" s="105">
        <f t="shared" si="7"/>
        <v>0</v>
      </c>
      <c r="K28" s="104"/>
      <c r="L28" s="105"/>
      <c r="M28" s="105">
        <f t="shared" si="8"/>
        <v>0</v>
      </c>
      <c r="N28" s="104"/>
      <c r="O28" s="105"/>
      <c r="P28" s="105">
        <f t="shared" si="9"/>
        <v>0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86"/>
      <c r="B29" s="107"/>
      <c r="C29" s="108"/>
      <c r="D29" s="109">
        <f t="shared" si="5"/>
        <v>0</v>
      </c>
      <c r="E29" s="104"/>
      <c r="F29" s="105"/>
      <c r="G29" s="105">
        <f t="shared" si="6"/>
        <v>0</v>
      </c>
      <c r="H29" s="104"/>
      <c r="I29" s="105"/>
      <c r="J29" s="105">
        <f t="shared" si="7"/>
        <v>0</v>
      </c>
      <c r="K29" s="104"/>
      <c r="L29" s="105"/>
      <c r="M29" s="105">
        <f t="shared" si="8"/>
        <v>0</v>
      </c>
      <c r="N29" s="104"/>
      <c r="O29" s="105"/>
      <c r="P29" s="105">
        <f t="shared" si="9"/>
        <v>0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86"/>
      <c r="B30" s="107"/>
      <c r="C30" s="108"/>
      <c r="D30" s="109">
        <f t="shared" si="5"/>
        <v>0</v>
      </c>
      <c r="E30" s="104"/>
      <c r="F30" s="105"/>
      <c r="G30" s="105">
        <f t="shared" si="6"/>
        <v>0</v>
      </c>
      <c r="H30" s="104"/>
      <c r="I30" s="105"/>
      <c r="J30" s="105">
        <f t="shared" si="7"/>
        <v>0</v>
      </c>
      <c r="K30" s="104"/>
      <c r="L30" s="105"/>
      <c r="M30" s="105">
        <f t="shared" si="8"/>
        <v>0</v>
      </c>
      <c r="N30" s="104"/>
      <c r="O30" s="105"/>
      <c r="P30" s="105">
        <f t="shared" si="9"/>
        <v>0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86"/>
      <c r="B31" s="107"/>
      <c r="C31" s="108"/>
      <c r="D31" s="109">
        <f t="shared" si="5"/>
        <v>0</v>
      </c>
      <c r="E31" s="104"/>
      <c r="F31" s="105"/>
      <c r="G31" s="105">
        <f t="shared" si="6"/>
        <v>0</v>
      </c>
      <c r="H31" s="104"/>
      <c r="I31" s="105"/>
      <c r="J31" s="105">
        <f t="shared" si="7"/>
        <v>0</v>
      </c>
      <c r="K31" s="104"/>
      <c r="L31" s="105"/>
      <c r="M31" s="105">
        <f t="shared" si="8"/>
        <v>0</v>
      </c>
      <c r="N31" s="104"/>
      <c r="O31" s="105"/>
      <c r="P31" s="105">
        <f t="shared" si="9"/>
        <v>0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86"/>
      <c r="B32" s="107"/>
      <c r="C32" s="108"/>
      <c r="D32" s="109">
        <f t="shared" si="5"/>
        <v>0</v>
      </c>
      <c r="E32" s="104"/>
      <c r="F32" s="105"/>
      <c r="G32" s="105">
        <f t="shared" si="6"/>
        <v>0</v>
      </c>
      <c r="H32" s="104"/>
      <c r="I32" s="105"/>
      <c r="J32" s="105">
        <f t="shared" si="7"/>
        <v>0</v>
      </c>
      <c r="K32" s="104"/>
      <c r="L32" s="105"/>
      <c r="M32" s="105">
        <f t="shared" si="8"/>
        <v>0</v>
      </c>
      <c r="N32" s="104"/>
      <c r="O32" s="105"/>
      <c r="P32" s="105">
        <f t="shared" si="9"/>
        <v>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86"/>
      <c r="B33" s="107"/>
      <c r="C33" s="108"/>
      <c r="D33" s="109">
        <f t="shared" si="5"/>
        <v>0</v>
      </c>
      <c r="E33" s="104"/>
      <c r="F33" s="105"/>
      <c r="G33" s="105">
        <f t="shared" si="6"/>
        <v>0</v>
      </c>
      <c r="H33" s="104"/>
      <c r="I33" s="105"/>
      <c r="J33" s="105">
        <f t="shared" si="7"/>
        <v>0</v>
      </c>
      <c r="K33" s="104"/>
      <c r="L33" s="105"/>
      <c r="M33" s="105">
        <f t="shared" si="8"/>
        <v>0</v>
      </c>
      <c r="N33" s="104"/>
      <c r="O33" s="105"/>
      <c r="P33" s="105">
        <f t="shared" si="9"/>
        <v>0</v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86"/>
      <c r="B34" s="107"/>
      <c r="C34" s="108"/>
      <c r="D34" s="109">
        <f t="shared" si="5"/>
        <v>0</v>
      </c>
      <c r="E34" s="104"/>
      <c r="F34" s="105"/>
      <c r="G34" s="105">
        <f t="shared" si="6"/>
        <v>0</v>
      </c>
      <c r="H34" s="104"/>
      <c r="I34" s="105"/>
      <c r="J34" s="105">
        <f t="shared" si="7"/>
        <v>0</v>
      </c>
      <c r="K34" s="104"/>
      <c r="L34" s="105"/>
      <c r="M34" s="105">
        <f t="shared" si="8"/>
        <v>0</v>
      </c>
      <c r="N34" s="104"/>
      <c r="O34" s="105"/>
      <c r="P34" s="105">
        <f t="shared" si="9"/>
        <v>0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86"/>
      <c r="B35" s="107"/>
      <c r="C35" s="108"/>
      <c r="D35" s="109">
        <f t="shared" si="5"/>
        <v>0</v>
      </c>
      <c r="E35" s="104"/>
      <c r="F35" s="105"/>
      <c r="G35" s="105">
        <f t="shared" si="6"/>
        <v>0</v>
      </c>
      <c r="H35" s="104"/>
      <c r="I35" s="105"/>
      <c r="J35" s="105">
        <f t="shared" si="7"/>
        <v>0</v>
      </c>
      <c r="K35" s="104"/>
      <c r="L35" s="105"/>
      <c r="M35" s="105">
        <f t="shared" si="8"/>
        <v>0</v>
      </c>
      <c r="N35" s="104"/>
      <c r="O35" s="105"/>
      <c r="P35" s="105">
        <f t="shared" si="9"/>
        <v>0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86"/>
      <c r="B36" s="107"/>
      <c r="C36" s="108"/>
      <c r="D36" s="109">
        <f t="shared" si="5"/>
        <v>0</v>
      </c>
      <c r="E36" s="104"/>
      <c r="F36" s="105"/>
      <c r="G36" s="105">
        <f t="shared" si="6"/>
        <v>0</v>
      </c>
      <c r="H36" s="104"/>
      <c r="I36" s="105"/>
      <c r="J36" s="105">
        <f t="shared" si="7"/>
        <v>0</v>
      </c>
      <c r="K36" s="104"/>
      <c r="L36" s="105"/>
      <c r="M36" s="105">
        <f t="shared" si="8"/>
        <v>0</v>
      </c>
      <c r="N36" s="104"/>
      <c r="O36" s="105"/>
      <c r="P36" s="105">
        <f t="shared" si="9"/>
        <v>0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86"/>
      <c r="B37" s="107"/>
      <c r="C37" s="108"/>
      <c r="D37" s="109">
        <f t="shared" si="5"/>
        <v>0</v>
      </c>
      <c r="E37" s="104"/>
      <c r="F37" s="105"/>
      <c r="G37" s="105">
        <f t="shared" si="6"/>
        <v>0</v>
      </c>
      <c r="H37" s="104"/>
      <c r="I37" s="105"/>
      <c r="J37" s="105">
        <f t="shared" si="7"/>
        <v>0</v>
      </c>
      <c r="K37" s="104"/>
      <c r="L37" s="105"/>
      <c r="M37" s="105">
        <f t="shared" si="8"/>
        <v>0</v>
      </c>
      <c r="N37" s="104"/>
      <c r="O37" s="105"/>
      <c r="P37" s="105">
        <f t="shared" si="9"/>
        <v>0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86"/>
      <c r="B38" s="107"/>
      <c r="C38" s="108"/>
      <c r="D38" s="109">
        <f t="shared" si="5"/>
        <v>0</v>
      </c>
      <c r="E38" s="104"/>
      <c r="F38" s="105"/>
      <c r="G38" s="105">
        <f t="shared" si="6"/>
        <v>0</v>
      </c>
      <c r="H38" s="104"/>
      <c r="I38" s="105"/>
      <c r="J38" s="105">
        <f t="shared" si="7"/>
        <v>0</v>
      </c>
      <c r="K38" s="104"/>
      <c r="L38" s="105"/>
      <c r="M38" s="105">
        <f t="shared" si="8"/>
        <v>0</v>
      </c>
      <c r="N38" s="104"/>
      <c r="O38" s="105"/>
      <c r="P38" s="105">
        <f t="shared" si="9"/>
        <v>0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16" t="s">
        <v>48</v>
      </c>
      <c r="B39" s="102"/>
      <c r="C39" s="117"/>
      <c r="D39" s="118">
        <f>+SUM(D18:D38)</f>
        <v>12720000</v>
      </c>
      <c r="E39" s="104"/>
      <c r="F39" s="105"/>
      <c r="G39" s="117">
        <f>+SUM(G18:G38)</f>
        <v>0</v>
      </c>
      <c r="H39" s="104"/>
      <c r="I39" s="105"/>
      <c r="J39" s="117">
        <f>+SUM(J18:J38)</f>
        <v>0</v>
      </c>
      <c r="K39" s="104"/>
      <c r="L39" s="105"/>
      <c r="M39" s="117">
        <f>+SUM(M18:M38)</f>
        <v>0</v>
      </c>
      <c r="N39" s="104"/>
      <c r="O39" s="105"/>
      <c r="P39" s="117">
        <f>+SUM(P18:P38)</f>
        <v>0</v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04"/>
      <c r="B40" s="115"/>
      <c r="C40" s="105"/>
      <c r="D40" s="105"/>
      <c r="E40" s="104"/>
      <c r="F40" s="105"/>
      <c r="G40" s="105"/>
      <c r="H40" s="104"/>
      <c r="I40" s="105"/>
      <c r="J40" s="105"/>
      <c r="K40" s="104"/>
      <c r="L40" s="105"/>
      <c r="M40" s="105"/>
      <c r="N40" s="104"/>
      <c r="O40" s="105"/>
      <c r="P40" s="105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03" t="s">
        <v>85</v>
      </c>
      <c r="B41" s="102"/>
      <c r="C41" s="102"/>
      <c r="D41" s="105"/>
      <c r="E41" s="104"/>
      <c r="F41" s="105"/>
      <c r="G41" s="105"/>
      <c r="H41" s="104"/>
      <c r="I41" s="105"/>
      <c r="J41" s="105"/>
      <c r="K41" s="104"/>
      <c r="L41" s="105"/>
      <c r="M41" s="105"/>
      <c r="N41" s="104"/>
      <c r="O41" s="105"/>
      <c r="P41" s="105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06" t="s">
        <v>86</v>
      </c>
      <c r="B42" s="107">
        <v>4</v>
      </c>
      <c r="C42" s="108">
        <v>300000</v>
      </c>
      <c r="D42" s="109">
        <f t="shared" ref="D42:D47" si="10">+C42*B42</f>
        <v>1200000</v>
      </c>
      <c r="E42" s="104"/>
      <c r="F42" s="105"/>
      <c r="G42" s="105">
        <f t="shared" ref="G42:G47" si="11">+F42*E42</f>
        <v>0</v>
      </c>
      <c r="H42" s="104"/>
      <c r="I42" s="105"/>
      <c r="J42" s="105">
        <f t="shared" ref="J42:J47" si="12">+I42*H42</f>
        <v>0</v>
      </c>
      <c r="K42" s="104"/>
      <c r="L42" s="105"/>
      <c r="M42" s="105">
        <f t="shared" ref="M42:M47" si="13">+L42*K42</f>
        <v>0</v>
      </c>
      <c r="N42" s="104"/>
      <c r="O42" s="105"/>
      <c r="P42" s="105">
        <f t="shared" ref="P42:P47" si="14">+O42*N42</f>
        <v>0</v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06" t="s">
        <v>87</v>
      </c>
      <c r="B43" s="107">
        <v>4</v>
      </c>
      <c r="C43" s="108">
        <v>500000</v>
      </c>
      <c r="D43" s="109">
        <f t="shared" si="10"/>
        <v>2000000</v>
      </c>
      <c r="E43" s="104"/>
      <c r="F43" s="105"/>
      <c r="G43" s="105">
        <f t="shared" si="11"/>
        <v>0</v>
      </c>
      <c r="H43" s="104"/>
      <c r="I43" s="105"/>
      <c r="J43" s="105">
        <f t="shared" si="12"/>
        <v>0</v>
      </c>
      <c r="K43" s="104"/>
      <c r="L43" s="105"/>
      <c r="M43" s="105">
        <f t="shared" si="13"/>
        <v>0</v>
      </c>
      <c r="N43" s="104"/>
      <c r="O43" s="105"/>
      <c r="P43" s="105">
        <f t="shared" si="14"/>
        <v>0</v>
      </c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06" t="s">
        <v>88</v>
      </c>
      <c r="B44" s="107">
        <v>4</v>
      </c>
      <c r="C44" s="119">
        <v>80000</v>
      </c>
      <c r="D44" s="109">
        <f t="shared" si="10"/>
        <v>320000</v>
      </c>
      <c r="E44" s="104"/>
      <c r="F44" s="105"/>
      <c r="G44" s="105">
        <f t="shared" si="11"/>
        <v>0</v>
      </c>
      <c r="H44" s="104"/>
      <c r="I44" s="105"/>
      <c r="J44" s="105">
        <f t="shared" si="12"/>
        <v>0</v>
      </c>
      <c r="K44" s="104"/>
      <c r="L44" s="105"/>
      <c r="M44" s="105">
        <f t="shared" si="13"/>
        <v>0</v>
      </c>
      <c r="N44" s="104"/>
      <c r="O44" s="105"/>
      <c r="P44" s="105">
        <f t="shared" si="14"/>
        <v>0</v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06"/>
      <c r="B45" s="107"/>
      <c r="C45" s="119"/>
      <c r="D45" s="109">
        <f t="shared" si="10"/>
        <v>0</v>
      </c>
      <c r="E45" s="104"/>
      <c r="F45" s="105"/>
      <c r="G45" s="105">
        <f t="shared" si="11"/>
        <v>0</v>
      </c>
      <c r="H45" s="104"/>
      <c r="I45" s="105"/>
      <c r="J45" s="105">
        <f t="shared" si="12"/>
        <v>0</v>
      </c>
      <c r="K45" s="104"/>
      <c r="L45" s="105"/>
      <c r="M45" s="105">
        <f t="shared" si="13"/>
        <v>0</v>
      </c>
      <c r="N45" s="104"/>
      <c r="O45" s="105"/>
      <c r="P45" s="105">
        <f t="shared" si="14"/>
        <v>0</v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06"/>
      <c r="B46" s="120"/>
      <c r="C46" s="121"/>
      <c r="D46" s="109">
        <f t="shared" si="10"/>
        <v>0</v>
      </c>
      <c r="E46" s="104"/>
      <c r="F46" s="105"/>
      <c r="G46" s="105">
        <f t="shared" si="11"/>
        <v>0</v>
      </c>
      <c r="H46" s="104"/>
      <c r="I46" s="105"/>
      <c r="J46" s="105">
        <f t="shared" si="12"/>
        <v>0</v>
      </c>
      <c r="K46" s="104"/>
      <c r="L46" s="105"/>
      <c r="M46" s="105">
        <f t="shared" si="13"/>
        <v>0</v>
      </c>
      <c r="N46" s="104"/>
      <c r="O46" s="105"/>
      <c r="P46" s="105">
        <f t="shared" si="14"/>
        <v>0</v>
      </c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22"/>
      <c r="B47" s="120"/>
      <c r="C47" s="120"/>
      <c r="D47" s="109">
        <f t="shared" si="10"/>
        <v>0</v>
      </c>
      <c r="E47" s="104"/>
      <c r="F47" s="105"/>
      <c r="G47" s="105">
        <f t="shared" si="11"/>
        <v>0</v>
      </c>
      <c r="H47" s="104"/>
      <c r="I47" s="105"/>
      <c r="J47" s="105">
        <f t="shared" si="12"/>
        <v>0</v>
      </c>
      <c r="K47" s="104"/>
      <c r="L47" s="105"/>
      <c r="M47" s="105">
        <f t="shared" si="13"/>
        <v>0</v>
      </c>
      <c r="N47" s="104"/>
      <c r="O47" s="105"/>
      <c r="P47" s="105">
        <f t="shared" si="14"/>
        <v>0</v>
      </c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16" t="s">
        <v>48</v>
      </c>
      <c r="B48" s="102"/>
      <c r="C48" s="117"/>
      <c r="D48" s="118">
        <f>+SUM(D42:D47)</f>
        <v>3520000</v>
      </c>
      <c r="E48" s="104"/>
      <c r="F48" s="105"/>
      <c r="G48" s="117">
        <f>+SUM(G42:G47)</f>
        <v>0</v>
      </c>
      <c r="H48" s="104"/>
      <c r="I48" s="105"/>
      <c r="J48" s="117">
        <f>+SUM(J42:J47)</f>
        <v>0</v>
      </c>
      <c r="K48" s="104"/>
      <c r="L48" s="105"/>
      <c r="M48" s="117">
        <f>+SUM(M42:M47)</f>
        <v>0</v>
      </c>
      <c r="N48" s="104"/>
      <c r="O48" s="105"/>
      <c r="P48" s="117">
        <f>+SUM(P42:P47)</f>
        <v>0</v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11"/>
      <c r="B49" s="102"/>
      <c r="C49" s="102"/>
      <c r="D49" s="105"/>
      <c r="E49" s="104"/>
      <c r="F49" s="105"/>
      <c r="G49" s="105"/>
      <c r="H49" s="104"/>
      <c r="I49" s="105"/>
      <c r="J49" s="105"/>
      <c r="K49" s="104"/>
      <c r="L49" s="105"/>
      <c r="M49" s="105"/>
      <c r="N49" s="104"/>
      <c r="O49" s="105"/>
      <c r="P49" s="105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03" t="s">
        <v>89</v>
      </c>
      <c r="B50" s="102"/>
      <c r="C50" s="102"/>
      <c r="D50" s="105"/>
      <c r="E50" s="104"/>
      <c r="F50" s="105"/>
      <c r="G50" s="105"/>
      <c r="H50" s="104"/>
      <c r="I50" s="105"/>
      <c r="J50" s="105"/>
      <c r="K50" s="104"/>
      <c r="L50" s="105"/>
      <c r="M50" s="105"/>
      <c r="N50" s="104"/>
      <c r="O50" s="105"/>
      <c r="P50" s="105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06"/>
      <c r="B51" s="107"/>
      <c r="C51" s="108"/>
      <c r="D51" s="109">
        <f t="shared" ref="D51:D55" si="15">+C51*B51</f>
        <v>0</v>
      </c>
      <c r="E51" s="104"/>
      <c r="F51" s="105"/>
      <c r="G51" s="105">
        <f t="shared" ref="G51:G55" si="16">+F51*E51</f>
        <v>0</v>
      </c>
      <c r="H51" s="104"/>
      <c r="I51" s="105"/>
      <c r="J51" s="105">
        <f t="shared" ref="J51:J55" si="17">+I51*H51</f>
        <v>0</v>
      </c>
      <c r="K51" s="104"/>
      <c r="L51" s="105"/>
      <c r="M51" s="105">
        <f t="shared" ref="M51:M55" si="18">+L51*K51</f>
        <v>0</v>
      </c>
      <c r="N51" s="104"/>
      <c r="O51" s="105"/>
      <c r="P51" s="105">
        <f t="shared" ref="P51:P55" si="19">+O51*N51</f>
        <v>0</v>
      </c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06"/>
      <c r="B52" s="107"/>
      <c r="C52" s="108"/>
      <c r="D52" s="109">
        <f t="shared" si="15"/>
        <v>0</v>
      </c>
      <c r="E52" s="104"/>
      <c r="F52" s="105"/>
      <c r="G52" s="105">
        <f t="shared" si="16"/>
        <v>0</v>
      </c>
      <c r="H52" s="104"/>
      <c r="I52" s="105"/>
      <c r="J52" s="105">
        <f t="shared" si="17"/>
        <v>0</v>
      </c>
      <c r="K52" s="104"/>
      <c r="L52" s="105"/>
      <c r="M52" s="105">
        <f t="shared" si="18"/>
        <v>0</v>
      </c>
      <c r="N52" s="104"/>
      <c r="O52" s="105"/>
      <c r="P52" s="105">
        <f t="shared" si="19"/>
        <v>0</v>
      </c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06"/>
      <c r="B53" s="107"/>
      <c r="C53" s="108"/>
      <c r="D53" s="109">
        <f t="shared" si="15"/>
        <v>0</v>
      </c>
      <c r="E53" s="104"/>
      <c r="F53" s="105"/>
      <c r="G53" s="105">
        <f t="shared" si="16"/>
        <v>0</v>
      </c>
      <c r="H53" s="104"/>
      <c r="I53" s="105"/>
      <c r="J53" s="105">
        <f t="shared" si="17"/>
        <v>0</v>
      </c>
      <c r="K53" s="104"/>
      <c r="L53" s="105"/>
      <c r="M53" s="105">
        <f t="shared" si="18"/>
        <v>0</v>
      </c>
      <c r="N53" s="104"/>
      <c r="O53" s="105"/>
      <c r="P53" s="105">
        <f t="shared" si="19"/>
        <v>0</v>
      </c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06"/>
      <c r="B54" s="120"/>
      <c r="C54" s="108"/>
      <c r="D54" s="109">
        <f t="shared" si="15"/>
        <v>0</v>
      </c>
      <c r="E54" s="104"/>
      <c r="F54" s="105"/>
      <c r="G54" s="105">
        <f t="shared" si="16"/>
        <v>0</v>
      </c>
      <c r="H54" s="104"/>
      <c r="I54" s="105"/>
      <c r="J54" s="105">
        <f t="shared" si="17"/>
        <v>0</v>
      </c>
      <c r="K54" s="104"/>
      <c r="L54" s="105"/>
      <c r="M54" s="105">
        <f t="shared" si="18"/>
        <v>0</v>
      </c>
      <c r="N54" s="104"/>
      <c r="O54" s="105"/>
      <c r="P54" s="105">
        <f t="shared" si="19"/>
        <v>0</v>
      </c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06"/>
      <c r="B55" s="120"/>
      <c r="C55" s="108"/>
      <c r="D55" s="109">
        <f t="shared" si="15"/>
        <v>0</v>
      </c>
      <c r="E55" s="104"/>
      <c r="F55" s="105"/>
      <c r="G55" s="105">
        <f t="shared" si="16"/>
        <v>0</v>
      </c>
      <c r="H55" s="104"/>
      <c r="I55" s="105"/>
      <c r="J55" s="105">
        <f t="shared" si="17"/>
        <v>0</v>
      </c>
      <c r="K55" s="104"/>
      <c r="L55" s="105"/>
      <c r="M55" s="105">
        <f t="shared" si="18"/>
        <v>0</v>
      </c>
      <c r="N55" s="104"/>
      <c r="O55" s="105"/>
      <c r="P55" s="105">
        <f t="shared" si="19"/>
        <v>0</v>
      </c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11" t="s">
        <v>48</v>
      </c>
      <c r="B56" s="102"/>
      <c r="C56" s="105"/>
      <c r="D56" s="118">
        <f>+SUM(D51:D55)</f>
        <v>0</v>
      </c>
      <c r="E56" s="104"/>
      <c r="F56" s="105"/>
      <c r="G56" s="117">
        <f>+SUM(G51:G55)</f>
        <v>0</v>
      </c>
      <c r="H56" s="104"/>
      <c r="I56" s="105"/>
      <c r="J56" s="117">
        <f>+SUM(J51:J55)</f>
        <v>0</v>
      </c>
      <c r="K56" s="104"/>
      <c r="L56" s="105"/>
      <c r="M56" s="117">
        <f>+SUM(M51:M55)</f>
        <v>0</v>
      </c>
      <c r="N56" s="104"/>
      <c r="O56" s="105"/>
      <c r="P56" s="117">
        <f>+SUM(P51:P55)</f>
        <v>0</v>
      </c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11"/>
      <c r="B57" s="102"/>
      <c r="C57" s="102"/>
      <c r="D57" s="105"/>
      <c r="E57" s="104"/>
      <c r="F57" s="105"/>
      <c r="G57" s="105"/>
      <c r="H57" s="104"/>
      <c r="I57" s="105"/>
      <c r="J57" s="105"/>
      <c r="K57" s="104"/>
      <c r="L57" s="105"/>
      <c r="M57" s="105"/>
      <c r="N57" s="104"/>
      <c r="O57" s="105"/>
      <c r="P57" s="105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11"/>
      <c r="B58" s="102"/>
      <c r="C58" s="102"/>
      <c r="D58" s="105"/>
      <c r="E58" s="104"/>
      <c r="F58" s="105"/>
      <c r="G58" s="105"/>
      <c r="H58" s="104"/>
      <c r="I58" s="105"/>
      <c r="J58" s="105"/>
      <c r="K58" s="104"/>
      <c r="L58" s="105"/>
      <c r="M58" s="105"/>
      <c r="N58" s="104"/>
      <c r="O58" s="105"/>
      <c r="P58" s="105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03" t="s">
        <v>90</v>
      </c>
      <c r="B59" s="102"/>
      <c r="C59" s="102"/>
      <c r="D59" s="105"/>
      <c r="E59" s="104"/>
      <c r="F59" s="105"/>
      <c r="G59" s="105"/>
      <c r="H59" s="104"/>
      <c r="I59" s="105"/>
      <c r="J59" s="105"/>
      <c r="K59" s="104"/>
      <c r="L59" s="105"/>
      <c r="M59" s="105"/>
      <c r="N59" s="104"/>
      <c r="O59" s="105"/>
      <c r="P59" s="105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06" t="s">
        <v>91</v>
      </c>
      <c r="B60" s="107">
        <v>1</v>
      </c>
      <c r="C60" s="108">
        <v>350000</v>
      </c>
      <c r="D60" s="109">
        <f t="shared" ref="D60:D64" si="20">+C60*B60</f>
        <v>350000</v>
      </c>
      <c r="E60" s="104"/>
      <c r="F60" s="105"/>
      <c r="G60" s="105">
        <f t="shared" ref="G60:G64" si="21">+F60*E60</f>
        <v>0</v>
      </c>
      <c r="H60" s="104"/>
      <c r="I60" s="105"/>
      <c r="J60" s="105">
        <f t="shared" ref="J60:J64" si="22">+I60*H60</f>
        <v>0</v>
      </c>
      <c r="K60" s="104"/>
      <c r="L60" s="105"/>
      <c r="M60" s="105">
        <f t="shared" ref="M60:M64" si="23">+L60*K60</f>
        <v>0</v>
      </c>
      <c r="N60" s="104"/>
      <c r="O60" s="105"/>
      <c r="P60" s="105">
        <f t="shared" ref="P60:P64" si="24">+O60*N60</f>
        <v>0</v>
      </c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06" t="s">
        <v>92</v>
      </c>
      <c r="B61" s="107">
        <v>1</v>
      </c>
      <c r="C61" s="108">
        <v>200000</v>
      </c>
      <c r="D61" s="109">
        <f t="shared" si="20"/>
        <v>200000</v>
      </c>
      <c r="E61" s="104"/>
      <c r="F61" s="105"/>
      <c r="G61" s="105">
        <f t="shared" si="21"/>
        <v>0</v>
      </c>
      <c r="H61" s="104"/>
      <c r="I61" s="105"/>
      <c r="J61" s="105">
        <f t="shared" si="22"/>
        <v>0</v>
      </c>
      <c r="K61" s="104"/>
      <c r="L61" s="105"/>
      <c r="M61" s="105">
        <f t="shared" si="23"/>
        <v>0</v>
      </c>
      <c r="N61" s="104"/>
      <c r="O61" s="105"/>
      <c r="P61" s="105">
        <f t="shared" si="24"/>
        <v>0</v>
      </c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06"/>
      <c r="B62" s="107"/>
      <c r="C62" s="108"/>
      <c r="D62" s="109">
        <f t="shared" si="20"/>
        <v>0</v>
      </c>
      <c r="E62" s="104"/>
      <c r="F62" s="105"/>
      <c r="G62" s="105">
        <f t="shared" si="21"/>
        <v>0</v>
      </c>
      <c r="H62" s="104"/>
      <c r="I62" s="105"/>
      <c r="J62" s="105">
        <f t="shared" si="22"/>
        <v>0</v>
      </c>
      <c r="K62" s="104"/>
      <c r="L62" s="105"/>
      <c r="M62" s="105">
        <f t="shared" si="23"/>
        <v>0</v>
      </c>
      <c r="N62" s="104"/>
      <c r="O62" s="105"/>
      <c r="P62" s="105">
        <f t="shared" si="24"/>
        <v>0</v>
      </c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06"/>
      <c r="B63" s="120"/>
      <c r="C63" s="108"/>
      <c r="D63" s="109">
        <f t="shared" si="20"/>
        <v>0</v>
      </c>
      <c r="E63" s="104"/>
      <c r="F63" s="105"/>
      <c r="G63" s="105">
        <f t="shared" si="21"/>
        <v>0</v>
      </c>
      <c r="H63" s="104"/>
      <c r="I63" s="105"/>
      <c r="J63" s="105">
        <f t="shared" si="22"/>
        <v>0</v>
      </c>
      <c r="K63" s="104"/>
      <c r="L63" s="105"/>
      <c r="M63" s="105">
        <f t="shared" si="23"/>
        <v>0</v>
      </c>
      <c r="N63" s="104"/>
      <c r="O63" s="105"/>
      <c r="P63" s="105">
        <f t="shared" si="24"/>
        <v>0</v>
      </c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06"/>
      <c r="B64" s="120"/>
      <c r="C64" s="108"/>
      <c r="D64" s="109">
        <f t="shared" si="20"/>
        <v>0</v>
      </c>
      <c r="E64" s="104"/>
      <c r="F64" s="105"/>
      <c r="G64" s="105">
        <f t="shared" si="21"/>
        <v>0</v>
      </c>
      <c r="H64" s="104"/>
      <c r="I64" s="105"/>
      <c r="J64" s="105">
        <f t="shared" si="22"/>
        <v>0</v>
      </c>
      <c r="K64" s="104"/>
      <c r="L64" s="105"/>
      <c r="M64" s="105">
        <f t="shared" si="23"/>
        <v>0</v>
      </c>
      <c r="N64" s="104"/>
      <c r="O64" s="105"/>
      <c r="P64" s="105">
        <f t="shared" si="24"/>
        <v>0</v>
      </c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11" t="s">
        <v>48</v>
      </c>
      <c r="B65" s="102"/>
      <c r="C65" s="105"/>
      <c r="D65" s="118">
        <f>+SUM(D60:D64)</f>
        <v>550000</v>
      </c>
      <c r="E65" s="104"/>
      <c r="F65" s="105"/>
      <c r="G65" s="117">
        <f>+SUM(G60:G64)</f>
        <v>0</v>
      </c>
      <c r="H65" s="104"/>
      <c r="I65" s="105"/>
      <c r="J65" s="117">
        <f>+SUM(J60:J64)</f>
        <v>0</v>
      </c>
      <c r="K65" s="104"/>
      <c r="L65" s="105"/>
      <c r="M65" s="117">
        <f>+SUM(M60:M64)</f>
        <v>0</v>
      </c>
      <c r="N65" s="104"/>
      <c r="O65" s="105"/>
      <c r="P65" s="117">
        <f>+SUM(P60:P64)</f>
        <v>0</v>
      </c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14"/>
      <c r="B66" s="102"/>
      <c r="C66" s="105"/>
      <c r="D66" s="105"/>
      <c r="E66" s="104"/>
      <c r="F66" s="105"/>
      <c r="G66" s="105"/>
      <c r="H66" s="104"/>
      <c r="I66" s="105"/>
      <c r="J66" s="105"/>
      <c r="K66" s="104"/>
      <c r="L66" s="105"/>
      <c r="M66" s="105"/>
      <c r="N66" s="104"/>
      <c r="O66" s="105"/>
      <c r="P66" s="105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03" t="s">
        <v>93</v>
      </c>
      <c r="B67" s="102"/>
      <c r="C67" s="105"/>
      <c r="D67" s="105"/>
      <c r="E67" s="104"/>
      <c r="F67" s="105"/>
      <c r="G67" s="105"/>
      <c r="H67" s="104"/>
      <c r="I67" s="105"/>
      <c r="J67" s="105"/>
      <c r="K67" s="104"/>
      <c r="L67" s="105"/>
      <c r="M67" s="105"/>
      <c r="N67" s="104"/>
      <c r="O67" s="105"/>
      <c r="P67" s="105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22"/>
      <c r="B68" s="120"/>
      <c r="C68" s="108"/>
      <c r="D68" s="109">
        <f t="shared" ref="D68:D71" si="25">+C68*B68</f>
        <v>0</v>
      </c>
      <c r="E68" s="104"/>
      <c r="F68" s="105"/>
      <c r="G68" s="105">
        <f t="shared" ref="G68:G71" si="26">+F68*E68</f>
        <v>0</v>
      </c>
      <c r="H68" s="104"/>
      <c r="I68" s="105"/>
      <c r="J68" s="105">
        <f t="shared" ref="J68:J71" si="27">+I68*H68</f>
        <v>0</v>
      </c>
      <c r="K68" s="104"/>
      <c r="L68" s="105"/>
      <c r="M68" s="105">
        <f t="shared" ref="M68:M71" si="28">+L68*K68</f>
        <v>0</v>
      </c>
      <c r="N68" s="104"/>
      <c r="O68" s="105"/>
      <c r="P68" s="105">
        <f t="shared" ref="P68:P71" si="29">+O68*N68</f>
        <v>0</v>
      </c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22"/>
      <c r="B69" s="120"/>
      <c r="C69" s="108"/>
      <c r="D69" s="109">
        <f t="shared" si="25"/>
        <v>0</v>
      </c>
      <c r="E69" s="104"/>
      <c r="F69" s="105"/>
      <c r="G69" s="105">
        <f t="shared" si="26"/>
        <v>0</v>
      </c>
      <c r="H69" s="104"/>
      <c r="I69" s="105"/>
      <c r="J69" s="105">
        <f t="shared" si="27"/>
        <v>0</v>
      </c>
      <c r="K69" s="104"/>
      <c r="L69" s="105"/>
      <c r="M69" s="105">
        <f t="shared" si="28"/>
        <v>0</v>
      </c>
      <c r="N69" s="104"/>
      <c r="O69" s="105"/>
      <c r="P69" s="105">
        <f t="shared" si="29"/>
        <v>0</v>
      </c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22"/>
      <c r="B70" s="120"/>
      <c r="C70" s="108"/>
      <c r="D70" s="109">
        <f t="shared" si="25"/>
        <v>0</v>
      </c>
      <c r="E70" s="104"/>
      <c r="F70" s="105"/>
      <c r="G70" s="105">
        <f t="shared" si="26"/>
        <v>0</v>
      </c>
      <c r="H70" s="104"/>
      <c r="I70" s="105"/>
      <c r="J70" s="105">
        <f t="shared" si="27"/>
        <v>0</v>
      </c>
      <c r="K70" s="104"/>
      <c r="L70" s="105"/>
      <c r="M70" s="105">
        <f t="shared" si="28"/>
        <v>0</v>
      </c>
      <c r="N70" s="104"/>
      <c r="O70" s="105"/>
      <c r="P70" s="105">
        <f t="shared" si="29"/>
        <v>0</v>
      </c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22"/>
      <c r="B71" s="120"/>
      <c r="C71" s="108"/>
      <c r="D71" s="109">
        <f t="shared" si="25"/>
        <v>0</v>
      </c>
      <c r="E71" s="104"/>
      <c r="F71" s="105"/>
      <c r="G71" s="105">
        <f t="shared" si="26"/>
        <v>0</v>
      </c>
      <c r="H71" s="104"/>
      <c r="I71" s="105"/>
      <c r="J71" s="105">
        <f t="shared" si="27"/>
        <v>0</v>
      </c>
      <c r="K71" s="104"/>
      <c r="L71" s="105"/>
      <c r="M71" s="105">
        <f t="shared" si="28"/>
        <v>0</v>
      </c>
      <c r="N71" s="104"/>
      <c r="O71" s="105"/>
      <c r="P71" s="105">
        <f t="shared" si="29"/>
        <v>0</v>
      </c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11" t="s">
        <v>48</v>
      </c>
      <c r="B72" s="102"/>
      <c r="C72" s="105"/>
      <c r="D72" s="118">
        <f>+SUM(D68:D71)</f>
        <v>0</v>
      </c>
      <c r="E72" s="104"/>
      <c r="F72" s="105"/>
      <c r="G72" s="117">
        <f>+SUM(G68:G71)</f>
        <v>0</v>
      </c>
      <c r="H72" s="104"/>
      <c r="I72" s="105"/>
      <c r="J72" s="117">
        <f>+SUM(J68:J71)</f>
        <v>0</v>
      </c>
      <c r="K72" s="104"/>
      <c r="L72" s="105"/>
      <c r="M72" s="117">
        <f>+SUM(M68:M71)</f>
        <v>0</v>
      </c>
      <c r="N72" s="104"/>
      <c r="O72" s="105"/>
      <c r="P72" s="117">
        <f>+SUM(P68:P71)</f>
        <v>0</v>
      </c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11"/>
      <c r="B73" s="102"/>
      <c r="C73" s="105"/>
      <c r="D73" s="105"/>
      <c r="E73" s="104"/>
      <c r="F73" s="105"/>
      <c r="G73" s="105"/>
      <c r="H73" s="104"/>
      <c r="I73" s="105"/>
      <c r="J73" s="105"/>
      <c r="K73" s="104"/>
      <c r="L73" s="105"/>
      <c r="M73" s="105"/>
      <c r="N73" s="104"/>
      <c r="O73" s="105"/>
      <c r="P73" s="105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03" t="s">
        <v>94</v>
      </c>
      <c r="B74" s="102"/>
      <c r="C74" s="105"/>
      <c r="D74" s="105"/>
      <c r="E74" s="104"/>
      <c r="F74" s="105"/>
      <c r="G74" s="105"/>
      <c r="H74" s="104"/>
      <c r="I74" s="105"/>
      <c r="J74" s="105"/>
      <c r="K74" s="104"/>
      <c r="L74" s="105"/>
      <c r="M74" s="105"/>
      <c r="N74" s="104"/>
      <c r="O74" s="105"/>
      <c r="P74" s="105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06"/>
      <c r="B75" s="107"/>
      <c r="C75" s="108"/>
      <c r="D75" s="109">
        <f t="shared" ref="D75:D82" si="30">+B75*C75</f>
        <v>0</v>
      </c>
      <c r="E75" s="104"/>
      <c r="F75" s="105"/>
      <c r="G75" s="105">
        <f t="shared" ref="G75:G82" si="31">+E75*F75</f>
        <v>0</v>
      </c>
      <c r="H75" s="104"/>
      <c r="I75" s="105"/>
      <c r="J75" s="105">
        <f t="shared" ref="J75:J82" si="32">+H75*I75</f>
        <v>0</v>
      </c>
      <c r="K75" s="104"/>
      <c r="L75" s="105"/>
      <c r="M75" s="105">
        <f t="shared" ref="M75:M82" si="33">+K75*L75</f>
        <v>0</v>
      </c>
      <c r="N75" s="104"/>
      <c r="O75" s="105"/>
      <c r="P75" s="105">
        <f t="shared" ref="P75:P82" si="34">+N75*O75</f>
        <v>0</v>
      </c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06"/>
      <c r="B76" s="107"/>
      <c r="C76" s="108"/>
      <c r="D76" s="109">
        <f t="shared" si="30"/>
        <v>0</v>
      </c>
      <c r="E76" s="104"/>
      <c r="F76" s="105"/>
      <c r="G76" s="105">
        <f t="shared" si="31"/>
        <v>0</v>
      </c>
      <c r="H76" s="104"/>
      <c r="I76" s="105"/>
      <c r="J76" s="105">
        <f t="shared" si="32"/>
        <v>0</v>
      </c>
      <c r="K76" s="104"/>
      <c r="L76" s="105"/>
      <c r="M76" s="105">
        <f t="shared" si="33"/>
        <v>0</v>
      </c>
      <c r="N76" s="104"/>
      <c r="O76" s="105"/>
      <c r="P76" s="105">
        <f t="shared" si="34"/>
        <v>0</v>
      </c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06"/>
      <c r="B77" s="107"/>
      <c r="C77" s="108"/>
      <c r="D77" s="109">
        <f t="shared" si="30"/>
        <v>0</v>
      </c>
      <c r="E77" s="104"/>
      <c r="F77" s="105"/>
      <c r="G77" s="105">
        <f t="shared" si="31"/>
        <v>0</v>
      </c>
      <c r="H77" s="104"/>
      <c r="I77" s="105"/>
      <c r="J77" s="105">
        <f t="shared" si="32"/>
        <v>0</v>
      </c>
      <c r="K77" s="104"/>
      <c r="L77" s="105"/>
      <c r="M77" s="105">
        <f t="shared" si="33"/>
        <v>0</v>
      </c>
      <c r="N77" s="104"/>
      <c r="O77" s="105"/>
      <c r="P77" s="105">
        <f t="shared" si="34"/>
        <v>0</v>
      </c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06"/>
      <c r="B78" s="107"/>
      <c r="C78" s="108"/>
      <c r="D78" s="109">
        <f t="shared" si="30"/>
        <v>0</v>
      </c>
      <c r="E78" s="104"/>
      <c r="F78" s="105"/>
      <c r="G78" s="105">
        <f t="shared" si="31"/>
        <v>0</v>
      </c>
      <c r="H78" s="104"/>
      <c r="I78" s="105"/>
      <c r="J78" s="105">
        <f t="shared" si="32"/>
        <v>0</v>
      </c>
      <c r="K78" s="104"/>
      <c r="L78" s="105"/>
      <c r="M78" s="105">
        <f t="shared" si="33"/>
        <v>0</v>
      </c>
      <c r="N78" s="104"/>
      <c r="O78" s="105"/>
      <c r="P78" s="105">
        <f t="shared" si="34"/>
        <v>0</v>
      </c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06"/>
      <c r="B79" s="107"/>
      <c r="C79" s="108"/>
      <c r="D79" s="109">
        <f t="shared" si="30"/>
        <v>0</v>
      </c>
      <c r="E79" s="104"/>
      <c r="F79" s="105"/>
      <c r="G79" s="105">
        <f t="shared" si="31"/>
        <v>0</v>
      </c>
      <c r="H79" s="104"/>
      <c r="I79" s="105"/>
      <c r="J79" s="105">
        <f t="shared" si="32"/>
        <v>0</v>
      </c>
      <c r="K79" s="104"/>
      <c r="L79" s="105"/>
      <c r="M79" s="105">
        <f t="shared" si="33"/>
        <v>0</v>
      </c>
      <c r="N79" s="104"/>
      <c r="O79" s="105"/>
      <c r="P79" s="105">
        <f t="shared" si="34"/>
        <v>0</v>
      </c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06"/>
      <c r="B80" s="107"/>
      <c r="C80" s="108"/>
      <c r="D80" s="109">
        <f t="shared" si="30"/>
        <v>0</v>
      </c>
      <c r="E80" s="104"/>
      <c r="F80" s="105"/>
      <c r="G80" s="105">
        <f t="shared" si="31"/>
        <v>0</v>
      </c>
      <c r="H80" s="104"/>
      <c r="I80" s="105"/>
      <c r="J80" s="105">
        <f t="shared" si="32"/>
        <v>0</v>
      </c>
      <c r="K80" s="104"/>
      <c r="L80" s="105"/>
      <c r="M80" s="105">
        <f t="shared" si="33"/>
        <v>0</v>
      </c>
      <c r="N80" s="104"/>
      <c r="O80" s="105"/>
      <c r="P80" s="105">
        <f t="shared" si="34"/>
        <v>0</v>
      </c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06"/>
      <c r="B81" s="107"/>
      <c r="C81" s="108"/>
      <c r="D81" s="109">
        <f t="shared" si="30"/>
        <v>0</v>
      </c>
      <c r="E81" s="104"/>
      <c r="F81" s="105"/>
      <c r="G81" s="105">
        <f t="shared" si="31"/>
        <v>0</v>
      </c>
      <c r="H81" s="104"/>
      <c r="I81" s="105"/>
      <c r="J81" s="105">
        <f t="shared" si="32"/>
        <v>0</v>
      </c>
      <c r="K81" s="104"/>
      <c r="L81" s="105"/>
      <c r="M81" s="105">
        <f t="shared" si="33"/>
        <v>0</v>
      </c>
      <c r="N81" s="104"/>
      <c r="O81" s="105"/>
      <c r="P81" s="105">
        <f t="shared" si="34"/>
        <v>0</v>
      </c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86"/>
      <c r="B82" s="86"/>
      <c r="C82" s="86"/>
      <c r="D82" s="109">
        <f t="shared" si="30"/>
        <v>0</v>
      </c>
      <c r="E82" s="104"/>
      <c r="F82" s="104"/>
      <c r="G82" s="105">
        <f t="shared" si="31"/>
        <v>0</v>
      </c>
      <c r="H82" s="104"/>
      <c r="I82" s="104"/>
      <c r="J82" s="105">
        <f t="shared" si="32"/>
        <v>0</v>
      </c>
      <c r="K82" s="104"/>
      <c r="L82" s="104"/>
      <c r="M82" s="105">
        <f t="shared" si="33"/>
        <v>0</v>
      </c>
      <c r="N82" s="104"/>
      <c r="O82" s="104"/>
      <c r="P82" s="105">
        <f t="shared" si="34"/>
        <v>0</v>
      </c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11" t="s">
        <v>95</v>
      </c>
      <c r="B83" s="104"/>
      <c r="C83" s="104"/>
      <c r="D83" s="118">
        <f>SUM(D75:D82)</f>
        <v>0</v>
      </c>
      <c r="E83" s="117"/>
      <c r="F83" s="117"/>
      <c r="G83" s="117">
        <f>SUM(G75:G82)</f>
        <v>0</v>
      </c>
      <c r="H83" s="104"/>
      <c r="I83" s="104"/>
      <c r="J83" s="117">
        <f>SUM(J75:J82)</f>
        <v>0</v>
      </c>
      <c r="K83" s="104"/>
      <c r="L83" s="104"/>
      <c r="M83" s="117">
        <f>SUM(M75:M82)</f>
        <v>0</v>
      </c>
      <c r="N83" s="104"/>
      <c r="O83" s="104"/>
      <c r="P83" s="117">
        <f>SUM(P75:P82)</f>
        <v>0</v>
      </c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23"/>
      <c r="B84" s="104"/>
      <c r="C84" s="104"/>
      <c r="D84" s="117"/>
      <c r="E84" s="104"/>
      <c r="F84" s="104"/>
      <c r="G84" s="117"/>
      <c r="H84" s="104"/>
      <c r="I84" s="104"/>
      <c r="J84" s="117"/>
      <c r="K84" s="104"/>
      <c r="L84" s="104"/>
      <c r="M84" s="117"/>
      <c r="N84" s="104"/>
      <c r="O84" s="104"/>
      <c r="P84" s="117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16" t="s">
        <v>96</v>
      </c>
      <c r="B85" s="104"/>
      <c r="C85" s="104"/>
      <c r="D85" s="118">
        <f>+D15+D39+D48+D56+D65+D72+D83</f>
        <v>16790000</v>
      </c>
      <c r="E85" s="117"/>
      <c r="F85" s="117"/>
      <c r="G85" s="117">
        <f>+G15+G39+G48+G65+G83</f>
        <v>0</v>
      </c>
      <c r="H85" s="104"/>
      <c r="I85" s="104"/>
      <c r="J85" s="117"/>
      <c r="K85" s="104"/>
      <c r="L85" s="104"/>
      <c r="M85" s="117"/>
      <c r="N85" s="104"/>
      <c r="O85" s="104"/>
      <c r="P85" s="117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16"/>
      <c r="B86" s="104"/>
      <c r="C86" s="104"/>
      <c r="D86" s="117"/>
      <c r="E86" s="104"/>
      <c r="F86" s="104"/>
      <c r="G86" s="117"/>
      <c r="H86" s="104"/>
      <c r="I86" s="104"/>
      <c r="J86" s="117"/>
      <c r="K86" s="104"/>
      <c r="L86" s="104"/>
      <c r="M86" s="117"/>
      <c r="N86" s="104"/>
      <c r="O86" s="104"/>
      <c r="P86" s="117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03" t="s">
        <v>97</v>
      </c>
      <c r="B87" s="102"/>
      <c r="C87" s="105"/>
      <c r="D87" s="117"/>
      <c r="E87" s="104"/>
      <c r="F87" s="105"/>
      <c r="G87" s="117"/>
      <c r="H87" s="104"/>
      <c r="I87" s="105"/>
      <c r="J87" s="117"/>
      <c r="K87" s="104"/>
      <c r="L87" s="105"/>
      <c r="M87" s="117"/>
      <c r="N87" s="104"/>
      <c r="O87" s="105"/>
      <c r="P87" s="117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06" t="s">
        <v>116</v>
      </c>
      <c r="B88" s="120">
        <v>6</v>
      </c>
      <c r="C88" s="108">
        <v>3000000</v>
      </c>
      <c r="D88" s="109">
        <f t="shared" ref="D88:D95" si="35">+B88*C88</f>
        <v>18000000</v>
      </c>
      <c r="E88" s="104"/>
      <c r="F88" s="105"/>
      <c r="G88" s="105">
        <f t="shared" ref="G88:G95" si="36">+E88*F88</f>
        <v>0</v>
      </c>
      <c r="H88" s="104"/>
      <c r="I88" s="105"/>
      <c r="J88" s="105">
        <f t="shared" ref="J88:J95" si="37">+H88*I88</f>
        <v>0</v>
      </c>
      <c r="K88" s="104"/>
      <c r="L88" s="105"/>
      <c r="M88" s="105">
        <f t="shared" ref="M88:M95" si="38">+K88*L88</f>
        <v>0</v>
      </c>
      <c r="N88" s="104"/>
      <c r="O88" s="105"/>
      <c r="P88" s="105">
        <f t="shared" ref="P88:P95" si="39">+N88*O88</f>
        <v>0</v>
      </c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06"/>
      <c r="B89" s="120">
        <v>1</v>
      </c>
      <c r="C89" s="108">
        <v>2000000</v>
      </c>
      <c r="D89" s="109">
        <f t="shared" si="35"/>
        <v>2000000</v>
      </c>
      <c r="E89" s="104"/>
      <c r="F89" s="105"/>
      <c r="G89" s="105">
        <f t="shared" si="36"/>
        <v>0</v>
      </c>
      <c r="H89" s="104"/>
      <c r="I89" s="105"/>
      <c r="J89" s="105">
        <f t="shared" si="37"/>
        <v>0</v>
      </c>
      <c r="K89" s="104"/>
      <c r="L89" s="105"/>
      <c r="M89" s="105">
        <f t="shared" si="38"/>
        <v>0</v>
      </c>
      <c r="N89" s="104"/>
      <c r="O89" s="105"/>
      <c r="P89" s="105">
        <f t="shared" si="39"/>
        <v>0</v>
      </c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06" t="s">
        <v>115</v>
      </c>
      <c r="B90" s="120">
        <v>1</v>
      </c>
      <c r="C90" s="108">
        <v>500000</v>
      </c>
      <c r="D90" s="109">
        <f t="shared" si="35"/>
        <v>500000</v>
      </c>
      <c r="E90" s="104"/>
      <c r="F90" s="105"/>
      <c r="G90" s="105">
        <f t="shared" si="36"/>
        <v>0</v>
      </c>
      <c r="H90" s="104"/>
      <c r="I90" s="105"/>
      <c r="J90" s="105">
        <f t="shared" si="37"/>
        <v>0</v>
      </c>
      <c r="K90" s="104"/>
      <c r="L90" s="105"/>
      <c r="M90" s="105">
        <f t="shared" si="38"/>
        <v>0</v>
      </c>
      <c r="N90" s="104"/>
      <c r="O90" s="105"/>
      <c r="P90" s="105">
        <f t="shared" si="39"/>
        <v>0</v>
      </c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06" t="s">
        <v>98</v>
      </c>
      <c r="B91" s="120">
        <v>1</v>
      </c>
      <c r="C91" s="108">
        <v>30000</v>
      </c>
      <c r="D91" s="109">
        <f t="shared" si="35"/>
        <v>30000</v>
      </c>
      <c r="E91" s="104"/>
      <c r="F91" s="105"/>
      <c r="G91" s="105">
        <f t="shared" si="36"/>
        <v>0</v>
      </c>
      <c r="H91" s="104"/>
      <c r="I91" s="105"/>
      <c r="J91" s="105">
        <f t="shared" si="37"/>
        <v>0</v>
      </c>
      <c r="K91" s="104"/>
      <c r="L91" s="105"/>
      <c r="M91" s="105">
        <f t="shared" si="38"/>
        <v>0</v>
      </c>
      <c r="N91" s="104"/>
      <c r="O91" s="105"/>
      <c r="P91" s="105">
        <f t="shared" si="39"/>
        <v>0</v>
      </c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06" t="s">
        <v>99</v>
      </c>
      <c r="B92" s="120">
        <v>4</v>
      </c>
      <c r="C92" s="108">
        <v>300000</v>
      </c>
      <c r="D92" s="109">
        <f t="shared" si="35"/>
        <v>1200000</v>
      </c>
      <c r="E92" s="104"/>
      <c r="F92" s="105"/>
      <c r="G92" s="105">
        <f t="shared" si="36"/>
        <v>0</v>
      </c>
      <c r="H92" s="104"/>
      <c r="I92" s="105"/>
      <c r="J92" s="105">
        <f t="shared" si="37"/>
        <v>0</v>
      </c>
      <c r="K92" s="104"/>
      <c r="L92" s="105"/>
      <c r="M92" s="105">
        <f t="shared" si="38"/>
        <v>0</v>
      </c>
      <c r="N92" s="104"/>
      <c r="O92" s="105"/>
      <c r="P92" s="105">
        <f t="shared" si="39"/>
        <v>0</v>
      </c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06"/>
      <c r="B93" s="120"/>
      <c r="C93" s="108"/>
      <c r="D93" s="109">
        <f t="shared" si="35"/>
        <v>0</v>
      </c>
      <c r="E93" s="104"/>
      <c r="F93" s="105"/>
      <c r="G93" s="105">
        <f t="shared" si="36"/>
        <v>0</v>
      </c>
      <c r="H93" s="104"/>
      <c r="I93" s="105"/>
      <c r="J93" s="105">
        <f t="shared" si="37"/>
        <v>0</v>
      </c>
      <c r="K93" s="104"/>
      <c r="L93" s="105"/>
      <c r="M93" s="105">
        <f t="shared" si="38"/>
        <v>0</v>
      </c>
      <c r="N93" s="104"/>
      <c r="O93" s="105"/>
      <c r="P93" s="105">
        <f t="shared" si="39"/>
        <v>0</v>
      </c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06"/>
      <c r="B94" s="120"/>
      <c r="C94" s="108"/>
      <c r="D94" s="109">
        <f t="shared" si="35"/>
        <v>0</v>
      </c>
      <c r="E94" s="104"/>
      <c r="F94" s="105"/>
      <c r="G94" s="105">
        <f t="shared" si="36"/>
        <v>0</v>
      </c>
      <c r="H94" s="104"/>
      <c r="I94" s="105"/>
      <c r="J94" s="105">
        <f t="shared" si="37"/>
        <v>0</v>
      </c>
      <c r="K94" s="104"/>
      <c r="L94" s="105"/>
      <c r="M94" s="105">
        <f t="shared" si="38"/>
        <v>0</v>
      </c>
      <c r="N94" s="104"/>
      <c r="O94" s="105"/>
      <c r="P94" s="105">
        <f t="shared" si="39"/>
        <v>0</v>
      </c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06"/>
      <c r="B95" s="120"/>
      <c r="C95" s="108"/>
      <c r="D95" s="109">
        <f t="shared" si="35"/>
        <v>0</v>
      </c>
      <c r="E95" s="104"/>
      <c r="F95" s="105"/>
      <c r="G95" s="105">
        <f t="shared" si="36"/>
        <v>0</v>
      </c>
      <c r="H95" s="104"/>
      <c r="I95" s="105"/>
      <c r="J95" s="105">
        <f t="shared" si="37"/>
        <v>0</v>
      </c>
      <c r="K95" s="104"/>
      <c r="L95" s="105"/>
      <c r="M95" s="105">
        <f t="shared" si="38"/>
        <v>0</v>
      </c>
      <c r="N95" s="104"/>
      <c r="O95" s="105"/>
      <c r="P95" s="105">
        <f t="shared" si="39"/>
        <v>0</v>
      </c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11" t="s">
        <v>48</v>
      </c>
      <c r="B96" s="102"/>
      <c r="C96" s="105"/>
      <c r="D96" s="118">
        <f>+SUM(D88:D95)</f>
        <v>21730000</v>
      </c>
      <c r="E96" s="104"/>
      <c r="F96" s="105"/>
      <c r="G96" s="117">
        <f>+SUM(G88:G95)</f>
        <v>0</v>
      </c>
      <c r="H96" s="104"/>
      <c r="I96" s="105"/>
      <c r="J96" s="117">
        <f>+SUM(J88:J95)</f>
        <v>0</v>
      </c>
      <c r="K96" s="104"/>
      <c r="L96" s="105"/>
      <c r="M96" s="117">
        <f>+SUM(M88:M95)</f>
        <v>0</v>
      </c>
      <c r="N96" s="104"/>
      <c r="O96" s="105"/>
      <c r="P96" s="117">
        <f>+SUM(P88:P95)</f>
        <v>0</v>
      </c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87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87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87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87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87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87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87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87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87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87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87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87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87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87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87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87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87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87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87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87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87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87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87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87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87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87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87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87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87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87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87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87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87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87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87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87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87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87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87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87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87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87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87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87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87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87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87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87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87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87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87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87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87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87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87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87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87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87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87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87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87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87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87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87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87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87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87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87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87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87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87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87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87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87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87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87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87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87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87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87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87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87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87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87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87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87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87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87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87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87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87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87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87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87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87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87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87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87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87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87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87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87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87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87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87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87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87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87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87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87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87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87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87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87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87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87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87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87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87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87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87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87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87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87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87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87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87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87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87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87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87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87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87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87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87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87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87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87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87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87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87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87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87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87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87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87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87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87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87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87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87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87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87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87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87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87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87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87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87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87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87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87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87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87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87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87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87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87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87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87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87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87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87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87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87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87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87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87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87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87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87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87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87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87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87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87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87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87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87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87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87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87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87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87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87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87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87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87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87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87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/>
    <row r="298" spans="1:26" ht="15.75" customHeight="1" x14ac:dyDescent="0.25"/>
    <row r="299" spans="1:26" ht="15.75" customHeight="1" x14ac:dyDescent="0.25"/>
    <row r="300" spans="1:26" ht="15.75" customHeight="1" x14ac:dyDescent="0.25"/>
    <row r="301" spans="1:26" ht="15.75" customHeight="1" x14ac:dyDescent="0.25"/>
    <row r="302" spans="1:26" ht="15.75" customHeight="1" x14ac:dyDescent="0.25"/>
    <row r="303" spans="1:26" ht="15.75" customHeight="1" x14ac:dyDescent="0.25"/>
    <row r="304" spans="1:26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B4:D4"/>
    <mergeCell ref="E4:G4"/>
    <mergeCell ref="H4:J4"/>
    <mergeCell ref="K4:M4"/>
    <mergeCell ref="N4:P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baseColWidth="10" defaultColWidth="12.6640625" defaultRowHeight="15" customHeight="1" x14ac:dyDescent="0.25"/>
  <cols>
    <col min="1" max="1" width="24.44140625" customWidth="1"/>
    <col min="2" max="2" width="13.33203125" customWidth="1"/>
    <col min="3" max="3" width="15.109375" customWidth="1"/>
    <col min="4" max="6" width="13.33203125" customWidth="1"/>
    <col min="7" max="26" width="10" customWidth="1"/>
  </cols>
  <sheetData>
    <row r="1" spans="1:26" x14ac:dyDescent="0.25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spans="1:26" ht="15.75" customHeight="1" x14ac:dyDescent="0.3">
      <c r="A2" s="58"/>
      <c r="B2" s="70" t="s">
        <v>42</v>
      </c>
      <c r="C2" s="70" t="s">
        <v>100</v>
      </c>
      <c r="D2" s="70" t="s">
        <v>44</v>
      </c>
      <c r="E2" s="70" t="s">
        <v>45</v>
      </c>
      <c r="F2" s="70" t="s">
        <v>46</v>
      </c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x14ac:dyDescent="0.25">
      <c r="A3" s="63" t="s">
        <v>69</v>
      </c>
      <c r="B3" s="124">
        <f>'Ppto gastos fijos'!B24+'Ppto gastos variables'!B21+'Costos Indirectos Fabricacion'!B20</f>
        <v>11200000</v>
      </c>
      <c r="C3" s="124">
        <f>'Ppto gastos fijos'!B24+'Ppto gastos variables'!B21+'Costos Indirectos Fabricacion'!B20</f>
        <v>11200000</v>
      </c>
      <c r="D3" s="63"/>
      <c r="E3" s="63"/>
      <c r="F3" s="63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 x14ac:dyDescent="0.25">
      <c r="A4" s="63" t="s">
        <v>101</v>
      </c>
      <c r="B4" s="124">
        <f>'Proyeccion Ventas'!I5</f>
        <v>40000</v>
      </c>
      <c r="C4" s="68">
        <f>'Proyeccion Ventas'!J5</f>
        <v>70000</v>
      </c>
      <c r="D4" s="63"/>
      <c r="E4" s="63"/>
      <c r="F4" s="63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spans="1:26" x14ac:dyDescent="0.25">
      <c r="A5" s="63" t="s">
        <v>102</v>
      </c>
      <c r="B5" s="124">
        <f>'Costos Unitarios de producción'!E28</f>
        <v>6310</v>
      </c>
      <c r="C5" s="125" t="e">
        <f>'Costos Unitarios de producción'!E60</f>
        <v>#DIV/0!</v>
      </c>
      <c r="D5" s="63"/>
      <c r="E5" s="63"/>
      <c r="F5" s="63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spans="1:26" x14ac:dyDescent="0.25">
      <c r="A6" s="63" t="s">
        <v>103</v>
      </c>
      <c r="B6" s="124">
        <f t="shared" ref="B6:F6" si="0">+B4-B5</f>
        <v>33690</v>
      </c>
      <c r="C6" s="124" t="e">
        <f t="shared" si="0"/>
        <v>#DIV/0!</v>
      </c>
      <c r="D6" s="124">
        <f t="shared" si="0"/>
        <v>0</v>
      </c>
      <c r="E6" s="124">
        <f t="shared" si="0"/>
        <v>0</v>
      </c>
      <c r="F6" s="124">
        <f t="shared" si="0"/>
        <v>0</v>
      </c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spans="1:26" x14ac:dyDescent="0.25">
      <c r="A7" s="63" t="s">
        <v>104</v>
      </c>
      <c r="B7" s="126">
        <f t="shared" ref="B7:F7" si="1">+B3/B6</f>
        <v>332.44286138319978</v>
      </c>
      <c r="C7" s="126" t="e">
        <f t="shared" si="1"/>
        <v>#DIV/0!</v>
      </c>
      <c r="D7" s="126" t="e">
        <f t="shared" si="1"/>
        <v>#DIV/0!</v>
      </c>
      <c r="E7" s="126" t="e">
        <f t="shared" si="1"/>
        <v>#DIV/0!</v>
      </c>
      <c r="F7" s="126" t="e">
        <f t="shared" si="1"/>
        <v>#DIV/0!</v>
      </c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spans="1:26" x14ac:dyDescent="0.25">
      <c r="A8" s="58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spans="1:26" x14ac:dyDescent="0.25">
      <c r="A9" s="58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spans="1:26" x14ac:dyDescent="0.25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spans="1:26" x14ac:dyDescent="0.25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spans="1:26" x14ac:dyDescent="0.25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spans="1:26" x14ac:dyDescent="0.25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6" x14ac:dyDescent="0.25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spans="1:26" x14ac:dyDescent="0.25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spans="1:26" x14ac:dyDescent="0.25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x14ac:dyDescent="0.25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x14ac:dyDescent="0.25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x14ac:dyDescent="0.25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x14ac:dyDescent="0.25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15.75" customHeight="1" x14ac:dyDescent="0.25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15.75" customHeight="1" x14ac:dyDescent="0.25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spans="1:26" ht="15.75" customHeight="1" x14ac:dyDescent="0.25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5.75" customHeight="1" x14ac:dyDescent="0.25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5.75" customHeight="1" x14ac:dyDescent="0.25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15.75" customHeight="1" x14ac:dyDescent="0.25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5.75" customHeight="1" x14ac:dyDescent="0.25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15.75" customHeight="1" x14ac:dyDescent="0.25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15.75" customHeight="1" x14ac:dyDescent="0.25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5.75" customHeight="1" x14ac:dyDescent="0.25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15.75" customHeight="1" x14ac:dyDescent="0.25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15.75" customHeight="1" x14ac:dyDescent="0.25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spans="1:26" ht="15.75" customHeight="1" x14ac:dyDescent="0.25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spans="1:26" ht="15.75" customHeight="1" x14ac:dyDescent="0.25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spans="1:26" ht="15.75" customHeight="1" x14ac:dyDescent="0.25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spans="1:26" ht="15.75" customHeight="1" x14ac:dyDescent="0.25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spans="1:26" ht="15.75" customHeight="1" x14ac:dyDescent="0.25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spans="1:26" ht="15.75" customHeight="1" x14ac:dyDescent="0.25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spans="1:26" ht="15.75" customHeight="1" x14ac:dyDescent="0.25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spans="1:26" ht="15.75" customHeight="1" x14ac:dyDescent="0.25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spans="1:26" ht="15.75" customHeight="1" x14ac:dyDescent="0.25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spans="1:26" ht="15.75" customHeight="1" x14ac:dyDescent="0.25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spans="1:26" ht="15.75" customHeight="1" x14ac:dyDescent="0.25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spans="1:26" ht="15.75" customHeight="1" x14ac:dyDescent="0.25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1:26" ht="15.75" customHeight="1" x14ac:dyDescent="0.25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spans="1:26" ht="15.75" customHeight="1" x14ac:dyDescent="0.25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spans="1:26" ht="15.75" customHeight="1" x14ac:dyDescent="0.25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spans="1:26" ht="15.75" customHeight="1" x14ac:dyDescent="0.25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spans="1:26" ht="15.75" customHeight="1" x14ac:dyDescent="0.25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spans="1:26" ht="15.75" customHeight="1" x14ac:dyDescent="0.25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spans="1:26" ht="15.75" customHeight="1" x14ac:dyDescent="0.25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spans="1:26" ht="15.75" customHeight="1" x14ac:dyDescent="0.25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spans="1:26" ht="15.75" customHeight="1" x14ac:dyDescent="0.25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spans="1:26" ht="15.75" customHeight="1" x14ac:dyDescent="0.25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1:26" ht="15.75" customHeight="1" x14ac:dyDescent="0.25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spans="1:26" ht="15.75" customHeight="1" x14ac:dyDescent="0.25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spans="1:26" ht="15.75" customHeight="1" x14ac:dyDescent="0.25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spans="1:26" ht="15.75" customHeight="1" x14ac:dyDescent="0.25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spans="1:26" ht="15.75" customHeight="1" x14ac:dyDescent="0.25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spans="1:26" ht="15.75" customHeight="1" x14ac:dyDescent="0.25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1:26" ht="15.75" customHeight="1" x14ac:dyDescent="0.25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spans="1:26" ht="15.75" customHeight="1" x14ac:dyDescent="0.25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6" ht="15.75" customHeight="1" x14ac:dyDescent="0.25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 ht="15.75" customHeight="1" x14ac:dyDescent="0.25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spans="1:26" ht="15.75" customHeight="1" x14ac:dyDescent="0.25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spans="1:26" ht="15.75" customHeight="1" x14ac:dyDescent="0.25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spans="1:26" ht="15.75" customHeight="1" x14ac:dyDescent="0.25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spans="1:26" ht="15.75" customHeight="1" x14ac:dyDescent="0.25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spans="1:26" ht="15.75" customHeight="1" x14ac:dyDescent="0.25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spans="1:26" ht="15.75" customHeight="1" x14ac:dyDescent="0.25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spans="1:26" ht="15.75" customHeight="1" x14ac:dyDescent="0.25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spans="1:26" ht="15.75" customHeight="1" x14ac:dyDescent="0.25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spans="1:26" ht="15.75" customHeight="1" x14ac:dyDescent="0.25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spans="1:26" ht="15.75" customHeight="1" x14ac:dyDescent="0.25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spans="1:26" ht="15.75" customHeight="1" x14ac:dyDescent="0.25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 ht="15.75" customHeight="1" x14ac:dyDescent="0.25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 ht="15.75" customHeight="1" x14ac:dyDescent="0.25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 ht="15.75" customHeight="1" x14ac:dyDescent="0.25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 ht="15.75" customHeight="1" x14ac:dyDescent="0.25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 ht="15.75" customHeight="1" x14ac:dyDescent="0.25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 ht="15.75" customHeight="1" x14ac:dyDescent="0.25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 ht="15.75" customHeight="1" x14ac:dyDescent="0.25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 ht="15.75" customHeight="1" x14ac:dyDescent="0.25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 ht="15.75" customHeight="1" x14ac:dyDescent="0.25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 ht="15.75" customHeight="1" x14ac:dyDescent="0.25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 ht="15.75" customHeight="1" x14ac:dyDescent="0.25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 ht="15.75" customHeight="1" x14ac:dyDescent="0.25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 ht="15.75" customHeight="1" x14ac:dyDescent="0.25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 ht="15.75" customHeight="1" x14ac:dyDescent="0.25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 ht="15.75" customHeight="1" x14ac:dyDescent="0.25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 ht="15.75" customHeight="1" x14ac:dyDescent="0.25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 ht="15.75" customHeight="1" x14ac:dyDescent="0.25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 ht="15.75" customHeight="1" x14ac:dyDescent="0.25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 ht="15.75" customHeight="1" x14ac:dyDescent="0.25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 ht="15.75" customHeight="1" x14ac:dyDescent="0.25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 ht="15.75" customHeight="1" x14ac:dyDescent="0.25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 ht="15.75" customHeight="1" x14ac:dyDescent="0.25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 ht="15.75" customHeight="1" x14ac:dyDescent="0.25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 ht="15.75" customHeight="1" x14ac:dyDescent="0.25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1:26" ht="15.75" customHeight="1" x14ac:dyDescent="0.25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spans="1:26" ht="15.75" customHeight="1" x14ac:dyDescent="0.25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spans="1:26" ht="15.75" customHeight="1" x14ac:dyDescent="0.25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spans="1:26" ht="15.75" customHeight="1" x14ac:dyDescent="0.25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spans="1:26" ht="15.75" customHeight="1" x14ac:dyDescent="0.25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spans="1:26" ht="15.75" customHeight="1" x14ac:dyDescent="0.25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spans="1:26" ht="15.75" customHeight="1" x14ac:dyDescent="0.25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spans="1:26" ht="15.75" customHeight="1" x14ac:dyDescent="0.25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spans="1:26" ht="15.75" customHeight="1" x14ac:dyDescent="0.25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spans="1:26" ht="15.75" customHeight="1" x14ac:dyDescent="0.25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spans="1:26" ht="15.75" customHeight="1" x14ac:dyDescent="0.25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spans="1:26" ht="15.75" customHeight="1" x14ac:dyDescent="0.25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spans="1:26" ht="15.75" customHeight="1" x14ac:dyDescent="0.25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spans="1:26" ht="15.75" customHeight="1" x14ac:dyDescent="0.25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spans="1:26" ht="15.75" customHeight="1" x14ac:dyDescent="0.25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spans="1:26" ht="15.75" customHeight="1" x14ac:dyDescent="0.25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spans="1:26" ht="15.75" customHeight="1" x14ac:dyDescent="0.25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spans="1:26" ht="15.75" customHeight="1" x14ac:dyDescent="0.25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spans="1:26" ht="15.75" customHeight="1" x14ac:dyDescent="0.25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spans="1:26" ht="15.75" customHeight="1" x14ac:dyDescent="0.25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spans="1:26" ht="15.75" customHeight="1" x14ac:dyDescent="0.25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spans="1:26" ht="15.75" customHeight="1" x14ac:dyDescent="0.25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spans="1:26" ht="15.75" customHeight="1" x14ac:dyDescent="0.25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spans="1:26" ht="15.75" customHeight="1" x14ac:dyDescent="0.25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spans="1:26" ht="15.75" customHeight="1" x14ac:dyDescent="0.25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spans="1:26" ht="15.75" customHeight="1" x14ac:dyDescent="0.25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spans="1:26" ht="15.75" customHeight="1" x14ac:dyDescent="0.25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spans="1:26" ht="15.75" customHeight="1" x14ac:dyDescent="0.25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spans="1:26" ht="15.75" customHeight="1" x14ac:dyDescent="0.25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spans="1:26" ht="15.75" customHeight="1" x14ac:dyDescent="0.25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spans="1:26" ht="15.75" customHeight="1" x14ac:dyDescent="0.25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spans="1:26" ht="15.75" customHeight="1" x14ac:dyDescent="0.25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spans="1:26" ht="15.75" customHeight="1" x14ac:dyDescent="0.25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spans="1:26" ht="15.75" customHeight="1" x14ac:dyDescent="0.25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spans="1:26" ht="15.75" customHeight="1" x14ac:dyDescent="0.25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spans="1:26" ht="15.75" customHeight="1" x14ac:dyDescent="0.25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spans="1:26" ht="15.75" customHeight="1" x14ac:dyDescent="0.25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spans="1:26" ht="15.75" customHeight="1" x14ac:dyDescent="0.25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spans="1:26" ht="15.75" customHeight="1" x14ac:dyDescent="0.25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spans="1:26" ht="15.75" customHeight="1" x14ac:dyDescent="0.25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spans="1:26" ht="15.75" customHeight="1" x14ac:dyDescent="0.25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spans="1:26" ht="15.75" customHeight="1" x14ac:dyDescent="0.25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spans="1:26" ht="15.75" customHeight="1" x14ac:dyDescent="0.25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spans="1:26" ht="15.75" customHeight="1" x14ac:dyDescent="0.25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spans="1:26" ht="15.75" customHeight="1" x14ac:dyDescent="0.25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spans="1:26" ht="15.75" customHeight="1" x14ac:dyDescent="0.25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spans="1:26" ht="15.75" customHeight="1" x14ac:dyDescent="0.25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spans="1:26" ht="15.75" customHeight="1" x14ac:dyDescent="0.25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spans="1:26" ht="15.75" customHeight="1" x14ac:dyDescent="0.25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spans="1:26" ht="15.75" customHeight="1" x14ac:dyDescent="0.25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spans="1:26" ht="15.75" customHeight="1" x14ac:dyDescent="0.25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spans="1:26" ht="15.75" customHeight="1" x14ac:dyDescent="0.25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spans="1:26" ht="15.75" customHeight="1" x14ac:dyDescent="0.25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spans="1:26" ht="15.75" customHeight="1" x14ac:dyDescent="0.25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spans="1:26" ht="15.75" customHeight="1" x14ac:dyDescent="0.25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spans="1:26" ht="15.75" customHeight="1" x14ac:dyDescent="0.25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spans="1:26" ht="15.75" customHeight="1" x14ac:dyDescent="0.25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spans="1:26" ht="15.75" customHeight="1" x14ac:dyDescent="0.25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spans="1:26" ht="15.75" customHeight="1" x14ac:dyDescent="0.25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spans="1:26" ht="15.75" customHeight="1" x14ac:dyDescent="0.25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spans="1:26" ht="15.75" customHeight="1" x14ac:dyDescent="0.25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spans="1:26" ht="15.75" customHeight="1" x14ac:dyDescent="0.25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spans="1:26" ht="15.75" customHeight="1" x14ac:dyDescent="0.25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spans="1:26" ht="15.75" customHeight="1" x14ac:dyDescent="0.25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spans="1:26" ht="15.75" customHeight="1" x14ac:dyDescent="0.25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spans="1:26" ht="15.75" customHeight="1" x14ac:dyDescent="0.25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spans="1:26" ht="15.75" customHeight="1" x14ac:dyDescent="0.25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spans="1:26" ht="15.75" customHeight="1" x14ac:dyDescent="0.25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spans="1:26" ht="15.75" customHeight="1" x14ac:dyDescent="0.25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spans="1:26" ht="15.75" customHeight="1" x14ac:dyDescent="0.25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spans="1:26" ht="15.75" customHeight="1" x14ac:dyDescent="0.25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spans="1:26" ht="15.75" customHeight="1" x14ac:dyDescent="0.25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spans="1:26" ht="15.75" customHeight="1" x14ac:dyDescent="0.25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spans="1:26" ht="15.75" customHeight="1" x14ac:dyDescent="0.25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spans="1:26" ht="15.75" customHeight="1" x14ac:dyDescent="0.25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spans="1:26" ht="15.75" customHeight="1" x14ac:dyDescent="0.25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spans="1:26" ht="15.75" customHeight="1" x14ac:dyDescent="0.25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spans="1:26" ht="15.75" customHeight="1" x14ac:dyDescent="0.25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spans="1:26" ht="15.75" customHeight="1" x14ac:dyDescent="0.25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spans="1:26" ht="15.75" customHeight="1" x14ac:dyDescent="0.25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spans="1:26" ht="15.75" customHeight="1" x14ac:dyDescent="0.25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spans="1:26" ht="15.75" customHeight="1" x14ac:dyDescent="0.25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spans="1:26" ht="15.75" customHeight="1" x14ac:dyDescent="0.25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spans="1:26" ht="15.75" customHeight="1" x14ac:dyDescent="0.25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spans="1:26" ht="15.75" customHeight="1" x14ac:dyDescent="0.25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spans="1:26" ht="15.75" customHeight="1" x14ac:dyDescent="0.25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spans="1:26" ht="15.75" customHeight="1" x14ac:dyDescent="0.25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spans="1:26" ht="15.75" customHeight="1" x14ac:dyDescent="0.25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spans="1:26" ht="15.75" customHeight="1" x14ac:dyDescent="0.25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spans="1:26" ht="15.75" customHeight="1" x14ac:dyDescent="0.25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spans="1:26" ht="15.75" customHeight="1" x14ac:dyDescent="0.25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spans="1:26" ht="15.75" customHeight="1" x14ac:dyDescent="0.25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spans="1:26" ht="15.75" customHeight="1" x14ac:dyDescent="0.25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spans="1:26" ht="15.75" customHeight="1" x14ac:dyDescent="0.25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spans="1:26" ht="15.75" customHeight="1" x14ac:dyDescent="0.25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spans="1:26" ht="15.75" customHeight="1" x14ac:dyDescent="0.25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spans="1:26" ht="15.75" customHeight="1" x14ac:dyDescent="0.25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spans="1:26" ht="15.75" customHeight="1" x14ac:dyDescent="0.25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spans="1:26" ht="15.75" customHeight="1" x14ac:dyDescent="0.25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spans="1:26" ht="15.75" customHeight="1" x14ac:dyDescent="0.25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spans="1:26" ht="15.75" customHeight="1" x14ac:dyDescent="0.25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spans="1:26" ht="15.75" customHeight="1" x14ac:dyDescent="0.25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spans="1:26" ht="15.75" customHeight="1" x14ac:dyDescent="0.25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spans="1:26" ht="15.75" customHeight="1" x14ac:dyDescent="0.25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spans="1:26" ht="15.75" customHeight="1" x14ac:dyDescent="0.25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spans="1:26" ht="15.75" customHeight="1" x14ac:dyDescent="0.25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spans="1:26" ht="15.75" customHeight="1" x14ac:dyDescent="0.25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spans="1:26" ht="15.75" customHeight="1" x14ac:dyDescent="0.25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spans="1:26" ht="15.75" customHeight="1" x14ac:dyDescent="0.25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spans="1:26" ht="15.75" customHeight="1" x14ac:dyDescent="0.25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spans="1:26" ht="15.75" customHeight="1" x14ac:dyDescent="0.25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spans="1:26" ht="15.75" customHeight="1" x14ac:dyDescent="0.25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spans="1:26" ht="15.75" customHeight="1" x14ac:dyDescent="0.25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spans="1:26" ht="15.75" customHeight="1" x14ac:dyDescent="0.25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spans="1:26" ht="15.75" customHeight="1" x14ac:dyDescent="0.25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spans="1:26" ht="15.75" customHeight="1" x14ac:dyDescent="0.25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spans="1:26" ht="15.75" customHeight="1" x14ac:dyDescent="0.25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spans="1:26" ht="15.75" customHeight="1" x14ac:dyDescent="0.25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spans="1:26" ht="15.75" customHeight="1" x14ac:dyDescent="0.25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spans="1:26" ht="15.75" customHeight="1" x14ac:dyDescent="0.25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spans="1:26" ht="15.75" customHeight="1" x14ac:dyDescent="0.25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FLUJO DE CAJA</vt:lpstr>
      <vt:lpstr>Proyeccion Ventas</vt:lpstr>
      <vt:lpstr>Costos Unitarios de producción</vt:lpstr>
      <vt:lpstr>Costos Indirectos Fabricacion</vt:lpstr>
      <vt:lpstr>Ppto gastos fijos</vt:lpstr>
      <vt:lpstr>Ppto gastos variables</vt:lpstr>
      <vt:lpstr>Infraestructura</vt:lpstr>
      <vt:lpstr>Punto de equilibrio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t40093</cp:lastModifiedBy>
  <dcterms:created xsi:type="dcterms:W3CDTF">2023-11-06T22:48:51Z</dcterms:created>
  <dcterms:modified xsi:type="dcterms:W3CDTF">2026-05-26T12:16:58Z</dcterms:modified>
</cp:coreProperties>
</file>